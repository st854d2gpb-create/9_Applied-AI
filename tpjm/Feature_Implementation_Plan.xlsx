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Features" sheetId="2" state="visible" r:id="rId4"/>
    <sheet name="Discussion" sheetId="3" state="visible" r:id="rId5"/>
    <sheet name="Traceability" sheetId="4" state="visible" r:id="rId6"/>
    <sheet name="Documents" sheetId="5" state="visible" r:id="rId7"/>
    <sheet name="Version history" sheetId="6" state="visible" r:id="rId8"/>
  </sheets>
  <definedNames>
    <definedName function="false" hidden="true" localSheetId="1" name="_xlnm._FilterDatabase" vbProcedure="false">Features!$A$4:$K$33</definedName>
    <definedName function="false" hidden="true" localSheetId="3" name="_xlnm._FilterDatabase" vbProcedure="false">Traceability!$A$4:$K$75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<sst xmlns="http://schemas.openxmlformats.org/spreadsheetml/2006/main" count="1205" uniqueCount="573">
  <si>
    <t xml:space="preserve">Baumarkt-Buddy – Feature Implementation Plan</t>
  </si>
  <si>
    <t xml:space="preserve">v0.9 · 29 Oct 2026 · basis: requirements and test cases updated with the team decisions of 29 Oct 2026</t>
  </si>
  <si>
    <t xml:space="preserve">What is this?</t>
  </si>
  <si>
    <t xml:space="preserve">All product features, the release they belong to, and whether they are built. Each feature links to its requirements and tests.</t>
  </si>
  <si>
    <t xml:space="preserve">Basis</t>
  </si>
  <si>
    <t xml:space="preserve">requirements-R1-MVP_2026-10-27.md (53 requirements) · requirements-R2-R4_2026-10-27.md (18) · 01_test_cases_2026-10-27.md (v1.2) – all updated with the team decisions of 29 Oct 2026.</t>
  </si>
  <si>
    <t xml:space="preserve">How to read it</t>
  </si>
  <si>
    <t xml:space="preserve">Sheet "Features": one row per feature. Status: Built · Partly built · Not built · Planned (later release). Column "Decision" points to the discussion list.</t>
  </si>
  <si>
    <t xml:space="preserve">Decisions</t>
  </si>
  <si>
    <t xml:space="preserve">Sheet "Discussion": D-1 … D-12 with the team decision (29 Oct 2026), the result and where the files changed. Undecided: D-6, D-12. D-10: to verify with the vibe coder.</t>
  </si>
  <si>
    <t xml:space="preserve">Other sheets</t>
  </si>
  <si>
    <t xml:space="preserve">Traceability (every requirement → feature → tests) · Documents · Version history.</t>
  </si>
  <si>
    <t xml:space="preserve">To build</t>
  </si>
  <si>
    <t xml:space="preserve">Notes with "To build" = decided on 29 Oct 2026, not yet in the app.</t>
  </si>
  <si>
    <t xml:space="preserve">Features</t>
  </si>
  <si>
    <t xml:space="preserve">Green = built · yellow = partly built · orange = not built · blue = later release</t>
  </si>
  <si>
    <t xml:space="preserve">Feature</t>
  </si>
  <si>
    <t xml:space="preserve">Name</t>
  </si>
  <si>
    <t xml:space="preserve">What the customer gets</t>
  </si>
  <si>
    <t xml:space="preserve">Release</t>
  </si>
  <si>
    <t xml:space="preserve">MoSCoW</t>
  </si>
  <si>
    <t xml:space="preserve">Status</t>
  </si>
  <si>
    <t xml:space="preserve">Requirements</t>
  </si>
  <si>
    <t xml:space="preserve">Tests</t>
  </si>
  <si>
    <t xml:space="preserve">Release-blocking tests</t>
  </si>
  <si>
    <t xml:space="preserve">Decision</t>
  </si>
  <si>
    <t xml:space="preserve">Note</t>
  </si>
  <si>
    <t xml:space="preserve">F-01</t>
  </si>
  <si>
    <t xml:space="preserve">Describe the project by typing or with a project button</t>
  </si>
  <si>
    <t xml:space="preserve">Type what you want to do or tap one of the 9 project buttons.</t>
  </si>
  <si>
    <t xml:space="preserve">R1</t>
  </si>
  <si>
    <t xml:space="preserve">Must</t>
  </si>
  <si>
    <t xml:space="preserve">Built</t>
  </si>
  <si>
    <t xml:space="preserve">FR-02, FR-03, NFR-03</t>
  </si>
  <si>
    <t xml:space="preserve">TC-001, TC-002, TC-003, TC-004, TC-050, TC-051, TC-052, TC-053, TC-099, UT-09</t>
  </si>
  <si>
    <t xml:space="preserve">–</t>
  </si>
  <si>
    <t xml:space="preserve">F-02</t>
  </si>
  <si>
    <t xml:space="preserve">Describe the project by speaking</t>
  </si>
  <si>
    <t xml:space="preserve">Say what you want to do; check the text before it is used.</t>
  </si>
  <si>
    <t xml:space="preserve">FR-25, FR-27, SR-11</t>
  </si>
  <si>
    <t xml:space="preserve">RT-08, TC-005, TC-006, TC-007, TC-008, TC-027, TC-052, TC-056, TC-064, UT-01</t>
  </si>
  <si>
    <t xml:space="preserve">RB-18, RB-19, RB-20</t>
  </si>
  <si>
    <t xml:space="preserve">F-03</t>
  </si>
  <si>
    <t xml:space="preserve">Questions and confirmed facts</t>
  </si>
  <si>
    <t xml:space="preserve">Max. 3 question screens; only confirmed facts are used.</t>
  </si>
  <si>
    <t xml:space="preserve">FR-04, FR-05, SR-01, SR-06</t>
  </si>
  <si>
    <t xml:space="preserve">RT-05, TC-004, TC-007, TC-010, TC-014, TC-015, TC-016, TC-017, TC-027, TC-030, TC-032, TC-035, TC-044, TC-085, TC-094, TC-097, TC-104, TC-105, TC-106, UT-01, UT-04</t>
  </si>
  <si>
    <t xml:space="preserve">D-8</t>
  </si>
  <si>
    <t xml:space="preserve">FR-05 = max. 3 question screens (D-8).</t>
  </si>
  <si>
    <t xml:space="preserve">F-04</t>
  </si>
  <si>
    <t xml:space="preserve">Checked shopping list</t>
  </si>
  <si>
    <t xml:space="preserve">List in Materials / Tools / Safety gear where all parts fit together.</t>
  </si>
  <si>
    <t xml:space="preserve">FR-06, FR-08, FR-09, SR-03, SR-04, SR-07, SR-08</t>
  </si>
  <si>
    <t xml:space="preserve">RT-06, RT-07, TC-012, TC-013, TC-018, TC-019, TC-020, TC-021, TC-025, TC-029, TC-030, TC-031, TC-032, TC-036, TC-037, TC-038, TC-039, TC-045, TC-069, TC-080, TC-083, TC-084, TC-086, TC-087, TC-088, TC-089, TC-096, TC-105, UT-04, UT-05, UT-06, UT-07, UT-08, UT-10, UT-11</t>
  </si>
  <si>
    <t xml:space="preserve">RB-01, RB-03, RB-04, RB-08, RB-13</t>
  </si>
  <si>
    <t xml:space="preserve">F-05</t>
  </si>
  <si>
    <t xml:space="preserve">Safety stops and hand-off</t>
  </si>
  <si>
    <t xml:space="preserve">Dangerous jobs are refused with "hire a professional" or "ask staff".</t>
  </si>
  <si>
    <t xml:space="preserve">FR-15, SR-02, SR-05, SR-09</t>
  </si>
  <si>
    <t xml:space="preserve">RT-01, RT-02, RT-03, RT-04, RT-08, TC-026, TC-028, TC-033, TC-034, TC-040, TC-041, TC-042, TC-044, TC-082, TC-085, TC-086, TC-087, TC-089, TC-093, TC-095</t>
  </si>
  <si>
    <t xml:space="preserve">RB-07</t>
  </si>
  <si>
    <t xml:space="preserve">F-06</t>
  </si>
  <si>
    <t xml:space="preserve">Optional postcode (PLZ) and store choice</t>
  </si>
  <si>
    <t xml:space="preserve">Enter a postcode (optional); stores nearest first; you pick one.</t>
  </si>
  <si>
    <t xml:space="preserve">FR-29, FR-30, DR-08</t>
  </si>
  <si>
    <t xml:space="preserve">TC-009, TC-010, TC-011, TC-012, TC-013, TC-053, TC-055, TC-077, TC-078, TC-107, UT-02, UT-03, UT-12</t>
  </si>
  <si>
    <t xml:space="preserve">RB-16, RB-17</t>
  </si>
  <si>
    <t xml:space="preserve">D-8, D-11</t>
  </si>
  <si>
    <t xml:space="preserve">Decided: 50 km, 6 stores incl. OBI Schwabach (D-8, D-11). Schwabach to add to the data.</t>
  </si>
  <si>
    <t xml:space="preserve">F-07</t>
  </si>
  <si>
    <t xml:space="preserve">Price, stock, aisle and shelf; referral if missing</t>
  </si>
  <si>
    <t xml:space="preserve">See price, stock, aisle and shelf; a missing part names the nearest store that has it.</t>
  </si>
  <si>
    <t xml:space="preserve">FR-11, FR-31</t>
  </si>
  <si>
    <t xml:space="preserve">TC-022, TC-023, TC-024, TC-025, TC-079, UT-10</t>
  </si>
  <si>
    <t xml:space="preserve">RB-06, RB-15, RB-21</t>
  </si>
  <si>
    <t xml:space="preserve">D-9</t>
  </si>
  <si>
    <t xml:space="preserve">Without a postcode: price shown, stock / aisle / shelf "not available" (built; written into FR-30, D-9).</t>
  </si>
  <si>
    <t xml:space="preserve">F-08</t>
  </si>
  <si>
    <t xml:space="preserve">Sample data and team review</t>
  </si>
  <si>
    <t xml:space="preserve">One data workbook (105 products, 5 stores); projects checked by the team.</t>
  </si>
  <si>
    <t xml:space="preserve">DR-01, DR-02, DR-03, DR-07, NFR-10, SR-10</t>
  </si>
  <si>
    <t xml:space="preserve">TC-020, TC-022, TC-023, TC-024, TC-043, TC-059, TC-066, TC-067, TC-068, TC-069, TC-070, TC-071, TC-076, TC-079, TC-096, TC-098, TC-099, TC-106, TC-107, UT-12</t>
  </si>
  <si>
    <t xml:space="preserve">Team review of the 9 projects: finalised (28 Oct 2026).</t>
  </si>
  <si>
    <t xml:space="preserve">F-09</t>
  </si>
  <si>
    <t xml:space="preserve">Trust, privacy and security</t>
  </si>
  <si>
    <t xml:space="preserve">AI is labelled, no login, minimal data, hidden instructions are ignored.</t>
  </si>
  <si>
    <t xml:space="preserve">NFR-04, NFR-05, NFR-06, NFR-07, DR-05</t>
  </si>
  <si>
    <t xml:space="preserve">RT-05, RT-06, RT-07, TC-010, TC-051, TC-054, TC-055, TC-056, TC-057, TC-058, TC-059, TC-060, TC-061, TC-062, TC-063, TC-064, TC-074, TC-075, TC-092, TC-101, TC-104, UT-08, UT-09</t>
  </si>
  <si>
    <t xml:space="preserve">RB-09</t>
  </si>
  <si>
    <t xml:space="preserve">F-10</t>
  </si>
  <si>
    <t xml:space="preserve">Mobile use, speed and language</t>
  </si>
  <si>
    <t xml:space="preserve">List in under 2 minutes on a phone, in German or English.</t>
  </si>
  <si>
    <t xml:space="preserve">NFR-01, NFR-02, NFR-09, NFR-12</t>
  </si>
  <si>
    <t xml:space="preserve">TC-002, TC-006, TC-015, TC-046, TC-047, TC-048, TC-049, TC-065, TC-093, TC-098</t>
  </si>
  <si>
    <t xml:space="preserve">Speech checked by Hari (28 Oct 2026): works in Chrome, Edge, Safari and on phones.</t>
  </si>
  <si>
    <t xml:space="preserve">F-11</t>
  </si>
  <si>
    <t xml:space="preserve">Project catalogue: 9 projects with limits and stop rules</t>
  </si>
  <si>
    <t xml:space="preserve">Shelf, wall cabinet, picture, anti-tip, paint, glass door, door lock, sliding door, wallpaper – each with its own limits.</t>
  </si>
  <si>
    <t xml:space="preserve">DR-04, SR-13</t>
  </si>
  <si>
    <t xml:space="preserve">TC-019, TC-043, TC-072, TC-073, TC-080, TC-081, TC-082, TC-083, TC-084, TC-085, TC-086, TC-087, TC-088, TC-089, TC-093, TC-096, TC-097, TC-099, TC-105, TC-106</t>
  </si>
  <si>
    <t xml:space="preserve">RB-22</t>
  </si>
  <si>
    <t xml:space="preserve">D-4, D-5, D-6, D-7, D-8, D-10</t>
  </si>
  <si>
    <t xml:space="preserve">Decided: sliding door 40 kg (D-4); wood and aerated concrete in R1 (D-5, to build). Open: sliding-door rules (D-6), drop-downs (D-10, to verify with the vibe coder).</t>
  </si>
  <si>
    <t xml:space="preserve">F-12</t>
  </si>
  <si>
    <t xml:space="preserve">OBI how-to links</t>
  </si>
  <si>
    <t xml:space="preserve">Checked OBI videos and articles for projects 5–9.</t>
  </si>
  <si>
    <t xml:space="preserve">Should</t>
  </si>
  <si>
    <t xml:space="preserve">FR-32</t>
  </si>
  <si>
    <t xml:space="preserve">TC-092</t>
  </si>
  <si>
    <t xml:space="preserve">All videos verified by Hari (D-8).</t>
  </si>
  <si>
    <t xml:space="preserve">F-13</t>
  </si>
  <si>
    <t xml:space="preserve">Weight and condition check</t>
  </si>
  <si>
    <t xml:space="preserve">Give the weight; used parts are checked for damage.</t>
  </si>
  <si>
    <t xml:space="preserve">Partly built</t>
  </si>
  <si>
    <t xml:space="preserve">FR-33, SR-14</t>
  </si>
  <si>
    <t xml:space="preserve">TC-091, TC-094, TC-104</t>
  </si>
  <si>
    <t xml:space="preserve">RB-23</t>
  </si>
  <si>
    <t xml:space="preserve">D-2</t>
  </si>
  <si>
    <t xml:space="preserve">Decided (D-2): "weigh it", "estimate for me", unknown → worst case. To build.</t>
  </si>
  <si>
    <t xml:space="preserve">F-14</t>
  </si>
  <si>
    <t xml:space="preserve">One safety check per project</t>
  </si>
  <si>
    <t xml:space="preserve">Easy projects (painting) get no wall or weight questions; all safety checks still run.</t>
  </si>
  <si>
    <t xml:space="preserve">SR-16</t>
  </si>
  <si>
    <t xml:space="preserve">TC-084, TC-095</t>
  </si>
  <si>
    <t xml:space="preserve">RB-25</t>
  </si>
  <si>
    <t xml:space="preserve">D-7</t>
  </si>
  <si>
    <t xml:space="preserve">F-15</t>
  </si>
  <si>
    <t xml:space="preserve">Owned items on the shopping list</t>
  </si>
  <si>
    <t xml:space="preserve">Mark "I already have this"; the price leaves the section subtotal and the total.</t>
  </si>
  <si>
    <t xml:space="preserve">FR-07, FR-34, SR-15, SR-17</t>
  </si>
  <si>
    <t xml:space="preserve">TC-090, TC-091, TC-102, TC-103</t>
  </si>
  <si>
    <t xml:space="preserve">RB-24</t>
  </si>
  <si>
    <t xml:space="preserve">D-3, D-7</t>
  </si>
  <si>
    <t xml:space="preserve">Decided (D-3): tick box removed; "I already have this" only; subtotal per section (FR-34); hint for own tools and safety gear (SR-17); plugs and screws always new. To build.</t>
  </si>
  <si>
    <t xml:space="preserve">F-16</t>
  </si>
  <si>
    <t xml:space="preserve">Save the project list</t>
  </si>
  <si>
    <t xml:space="preserve">Save the complete list (products, prices, aisle and shelf, how-to links) on the phone and share it.</t>
  </si>
  <si>
    <t xml:space="preserve">Not built</t>
  </si>
  <si>
    <t xml:space="preserve">FR-17, DR-06</t>
  </si>
  <si>
    <t xml:space="preserve">TC-100, TC-101</t>
  </si>
  <si>
    <t xml:space="preserve">D-1</t>
  </si>
  <si>
    <t xml:space="preserve">Decided (D-1): R1 / Must. To build.</t>
  </si>
  <si>
    <t xml:space="preserve">F-17</t>
  </si>
  <si>
    <t xml:space="preserve">Explanations</t>
  </si>
  <si>
    <t xml:space="preserve">Why each part fits and what is still unknown.</t>
  </si>
  <si>
    <t xml:space="preserve">R2</t>
  </si>
  <si>
    <t xml:space="preserve">Planned</t>
  </si>
  <si>
    <t xml:space="preserve">FR-10</t>
  </si>
  <si>
    <t xml:space="preserve">Part already in R1 (evidence log, stop texts).</t>
  </si>
  <si>
    <t xml:space="preserve">F-18</t>
  </si>
  <si>
    <t xml:space="preserve">Cheaper or better alternatives</t>
  </si>
  <si>
    <t xml:space="preserve">Other options for an item, with a new total.</t>
  </si>
  <si>
    <t xml:space="preserve">FR-12</t>
  </si>
  <si>
    <t xml:space="preserve">Variant switch already in R1.</t>
  </si>
  <si>
    <t xml:space="preserve">F-19</t>
  </si>
  <si>
    <t xml:space="preserve">Offline checklist</t>
  </si>
  <si>
    <t xml:space="preserve">The list works in the store without internet.</t>
  </si>
  <si>
    <t xml:space="preserve">FR-14</t>
  </si>
  <si>
    <t xml:space="preserve">RB-05, RB-12</t>
  </si>
  <si>
    <t xml:space="preserve">F-20</t>
  </si>
  <si>
    <t xml:space="preserve">Step-by-step assembly guide</t>
  </si>
  <si>
    <t xml:space="preserve">Building steps based on the manufacturer's manual.</t>
  </si>
  <si>
    <t xml:space="preserve">FR-16</t>
  </si>
  <si>
    <t xml:space="preserve">R1 has the OBI links only.</t>
  </si>
  <si>
    <t xml:space="preserve">F-21</t>
  </si>
  <si>
    <t xml:space="preserve">Accessibility</t>
  </si>
  <si>
    <t xml:space="preserve">Good contrast, bigger text, screen readers.</t>
  </si>
  <si>
    <t xml:space="preserve">NFR-08</t>
  </si>
  <si>
    <t xml:space="preserve">F-22</t>
  </si>
  <si>
    <t xml:space="preserve">Save and resume a project</t>
  </si>
  <si>
    <t xml:space="preserve">Come back to a project later.</t>
  </si>
  <si>
    <t xml:space="preserve">R3</t>
  </si>
  <si>
    <t xml:space="preserve">FR-01</t>
  </si>
  <si>
    <t xml:space="preserve">F-23</t>
  </si>
  <si>
    <t xml:space="preserve">Describe the project with a photo</t>
  </si>
  <si>
    <t xml:space="preserve">Upload a photo; the app treats what it sees as a guess to confirm.</t>
  </si>
  <si>
    <t xml:space="preserve">FR-26, FR-28, SR-12</t>
  </si>
  <si>
    <t xml:space="preserve">RB-02</t>
  </si>
  <si>
    <t xml:space="preserve">F-24</t>
  </si>
  <si>
    <t xml:space="preserve">Store search and hand-off to staff</t>
  </si>
  <si>
    <t xml:space="preserve">Pass the list to the store or a store employee.</t>
  </si>
  <si>
    <t xml:space="preserve">FR-13, FR-22</t>
  </si>
  <si>
    <t xml:space="preserve">RB-11</t>
  </si>
  <si>
    <t xml:space="preserve">F-25</t>
  </si>
  <si>
    <t xml:space="preserve">Verified aisle locations</t>
  </si>
  <si>
    <t xml:space="preserve">Checked aisle and shelf in a real store.</t>
  </si>
  <si>
    <t xml:space="preserve">FR-18</t>
  </si>
  <si>
    <t xml:space="preserve">F-26</t>
  </si>
  <si>
    <t xml:space="preserve">Scan products and track assembly</t>
  </si>
  <si>
    <t xml:space="preserve">Scan a product in the store; follow the building steps.</t>
  </si>
  <si>
    <t xml:space="preserve">Could</t>
  </si>
  <si>
    <t xml:space="preserve">FR-19, FR-20</t>
  </si>
  <si>
    <t xml:space="preserve">RB-14</t>
  </si>
  <si>
    <t xml:space="preserve">F-27</t>
  </si>
  <si>
    <t xml:space="preserve">Room visualisation</t>
  </si>
  <si>
    <t xml:space="preserve">See a picture of the finished project.</t>
  </si>
  <si>
    <t xml:space="preserve">FR-24</t>
  </si>
  <si>
    <t xml:space="preserve">F-28</t>
  </si>
  <si>
    <t xml:space="preserve">Monitoring</t>
  </si>
  <si>
    <t xml:space="preserve">Track problems, waiting times and costs.</t>
  </si>
  <si>
    <t xml:space="preserve">NFR-11</t>
  </si>
  <si>
    <t xml:space="preserve">F-29</t>
  </si>
  <si>
    <t xml:space="preserve">Reservation and cross-retailer baskets</t>
  </si>
  <si>
    <t xml:space="preserve">Reserve products; compare stores.</t>
  </si>
  <si>
    <t xml:space="preserve">Beyond</t>
  </si>
  <si>
    <t xml:space="preserve">Won't</t>
  </si>
  <si>
    <t xml:space="preserve">Not planned</t>
  </si>
  <si>
    <t xml:space="preserve">FR-21, FR-23</t>
  </si>
  <si>
    <t xml:space="preserve">RB-10</t>
  </si>
  <si>
    <t xml:space="preserve">Count</t>
  </si>
  <si>
    <t xml:space="preserve">Total</t>
  </si>
  <si>
    <t xml:space="preserve">Discussion list – team decisions of 29 Oct 2026</t>
  </si>
  <si>
    <t xml:space="preserve">Column H = team decision · column J = where the requirements and test cases changed</t>
  </si>
  <si>
    <t xml:space="preserve">No.</t>
  </si>
  <si>
    <t xml:space="preserve">Topic</t>
  </si>
  <si>
    <t xml:space="preserve">App today (colleague)</t>
  </si>
  <si>
    <t xml:space="preserve">Our proposal</t>
  </si>
  <si>
    <t xml:space="preserve">Why</t>
  </si>
  <si>
    <t xml:space="preserve">Risk</t>
  </si>
  <si>
    <t xml:space="preserve">Decision (29 Oct 2026)</t>
  </si>
  <si>
    <t xml:space="preserve">Result</t>
  </si>
  <si>
    <t xml:space="preserve">Changed in</t>
  </si>
  <si>
    <t xml:space="preserve">Not built. Requirement file says R2 / Could.</t>
  </si>
  <si>
    <t xml:space="preserve">R1 / Must: save the complete list (products, prices, aisle and shelf, how-to links) on the phone and share it.</t>
  </si>
  <si>
    <t xml:space="preserve">Agreed by Hari and the colleague – please confirm.</t>
  </si>
  <si>
    <t xml:space="preserve">None</t>
  </si>
  <si>
    <t xml:space="preserve">In R1 as Must</t>
  </si>
  <si>
    <t xml:space="preserve">Decided</t>
  </si>
  <si>
    <t xml:space="preserve">Requirements: FR-17, DR-06 moved to R1 / Must · Tests: TC-100, TC-101</t>
  </si>
  <si>
    <t xml:space="preserve">Unknown weight</t>
  </si>
  <si>
    <t xml:space="preserve">"I don't know" → the app stops.</t>
  </si>
  <si>
    <t xml:space="preserve">Add "weigh it" (bathroom-scale tip) and "estimate for me" (shown as estimate, customer confirms); unknown → worst case.</t>
  </si>
  <si>
    <t xml:space="preserve">Helps customers with second-hand items.</t>
  </si>
  <si>
    <t xml:space="preserve">A little less strict; estimate values need a team review.</t>
  </si>
  <si>
    <t xml:space="preserve">Proposal Approved.</t>
  </si>
  <si>
    <t xml:space="preserve">Requirements: FR-04, SR-14 · Tests: TC-094 (changed), TC-104, RB-23</t>
  </si>
  <si>
    <t xml:space="preserve">D-3</t>
  </si>
  <si>
    <t xml:space="preserve">Owned items and prices</t>
  </si>
  <si>
    <t xml:space="preserve">Two controls: a tick box on every item (shopping checklist – price does not change) and an "I already have this" button for tools and load-bearing parts (price leaves the total). No subtotal per section. Plugs and screws: no button, no hint.</t>
  </si>
  <si>
    <t xml:space="preserve">(a) An item the customer already has is ticked off and its price is deducted from the section subtotal and the total. (b) Each section (Materials, Tools, Safety gear) shows its subtotal. (c) Plugs and screws: allow with the hint "must suit your wall type and the size on the list" – or keep "always new".</t>
  </si>
  <si>
    <t xml:space="preserve">One clear rule; full price transparency.</t>
  </si>
  <si>
    <t xml:space="preserve">(a), (b): none. (c): less strict – keeping "always new" is safer.</t>
  </si>
  <si>
    <t xml:space="preserve">Remove the tick box and keep "I already have this" button. Add total price of sub categories. Add if needed a requirement that looks if an item removed from checked list using the button "I already have this", and check if the item is safety gear or a tool. If so a  hint is given that "Keep the right tool and gear to ensure safety". </t>
  </si>
  <si>
    <t xml:space="preserve">Requirements: FR-07, FR-34 (new), SR-15, SR-17 (new) · Tests: TC-090 (changed), TC-102, TC-103</t>
  </si>
  <si>
    <t xml:space="preserve">D-4</t>
  </si>
  <si>
    <t xml:space="preserve">Sliding door weight</t>
  </si>
  <si>
    <t xml:space="preserve">Max. 40 kg (plug 50 kg ÷ 1.25).</t>
  </si>
  <si>
    <t xml:space="preserve">60 kg, but only after a plug or anchor rated at least 75 kg is in the catalogue.</t>
  </si>
  <si>
    <t xml:space="preserve">Covers heavier doors.</t>
  </si>
  <si>
    <t xml:space="preserve">Unsafe without the stronger plug.</t>
  </si>
  <si>
    <t xml:space="preserve">Requirements: SR-13 (rationale) · Tests: §9 item 10</t>
  </si>
  <si>
    <t xml:space="preserve">D-5</t>
  </si>
  <si>
    <t xml:space="preserve">Wood and aerated concrete walls in R1</t>
  </si>
  <si>
    <t xml:space="preserve">Wood: not offered. Aerated concrete: offered, but the app always stops ("ask staff") – no suitable plugs in the catalogue.</t>
  </si>
  <si>
    <t xml:space="preserve">Full feature in R1 for all mounting projects: (1) product catalogue: add aerated-concrete plugs (generic sample products) and mark wood screws P048–P050 for wood; (2) project catalogue: limits for both walls (wood max. 50 kg; aerated concrete = rating of the new plug ÷ 1.25), drill and bit per wall, items; (3) app templates and tests. If not ready for R1: do not offer the two wall types at all.</t>
  </si>
  <si>
    <t xml:space="preserve">Customers with these walls get real help.</t>
  </si>
  <si>
    <t xml:space="preserve">New limits need a team review. Effort about 1.5–2 person-days.</t>
  </si>
  <si>
    <t xml:space="preserve">Requirements: FR-03, FR-04, SR-13, DR-01 · Tests: TC-097 (changed), TC-105, TC-106</t>
  </si>
  <si>
    <t xml:space="preserve">D-6</t>
  </si>
  <si>
    <t xml:space="preserve">Sliding-door rules</t>
  </si>
  <si>
    <t xml:space="preserve">In the app only: 3 cm overlap per side and at the top, free wall beside the opening.</t>
  </si>
  <si>
    <t xml:space="preserve">Write them into the project catalogue as "assumption".</t>
  </si>
  <si>
    <t xml:space="preserve">One source for all limits.</t>
  </si>
  <si>
    <t xml:space="preserve">None – only confirm.</t>
  </si>
  <si>
    <t xml:space="preserve">Undecided</t>
  </si>
  <si>
    <t xml:space="preserve">No change (undecided)</t>
  </si>
  <si>
    <t xml:space="preserve">Three extra release tests</t>
  </si>
  <si>
    <t xml:space="preserve">F-11, F-14, F-15</t>
  </si>
  <si>
    <t xml:space="preserve">The behaviour is tested, but not as release-blocking tests.</t>
  </si>
  <si>
    <t xml:space="preserve">RB-22: every limit just below / at / above (e.g. plasterboard 25 kg → list, 25.1 kg → stop; tested by TC-081, 082, 089, 096). RB-24: ticked-off item stays visible, subtotals and total correct (extend TC-090 after D-3). RB-25: an easy project never skips safety checks ("paint the wall and move the socket" → stop; TC-095).</t>
  </si>
  <si>
    <t xml:space="preserve">The release only goes out when these pass.</t>
  </si>
  <si>
    <t xml:space="preserve">None.</t>
  </si>
  <si>
    <t xml:space="preserve">Proposal Approved. Add these test in the file "01_test_cases_2026-10-27.md".</t>
  </si>
  <si>
    <t xml:space="preserve">Tests: RB-22, RB-24, RB-25 in §7.1 (19 gates)</t>
  </si>
  <si>
    <t xml:space="preserve">Text updates</t>
  </si>
  <si>
    <t xml:space="preserve">F-03, F-06, F-11, F-12</t>
  </si>
  <si>
    <t xml:space="preserve">Some texts in the files no longer match the app.</t>
  </si>
  <si>
    <t xml:space="preserve">FR-05: "on at most 3 question screens" · FR-29: 50 km, max. 5 stores shown, 5 sample stores · FR-31: TC-024, TC-079 instead of TC-34…TC-37 · DR-04: 9 reviewed project templates · project catalogue: all videos verified (Hari) · test cases §9: Q-1…Q-4 resolved · app test names: new test IDs (developer).</t>
  </si>
  <si>
    <t xml:space="preserve">Documents match the app.</t>
  </si>
  <si>
    <t xml:space="preserve">Requirements: FR-05, FR-29, FR-31, FR-32, DR-04 · Tests: §9</t>
  </si>
  <si>
    <t xml:space="preserve">Price and stock without a postcode</t>
  </si>
  <si>
    <t xml:space="preserve">Built: price shown; stock, aisle and shelf "not available" with the hint to add a postcode. FR-30 still says "TBD".</t>
  </si>
  <si>
    <t xml:space="preserve">No new requirement – write the app behaviour into FR-30.</t>
  </si>
  <si>
    <t xml:space="preserve">Requirement matches the app.</t>
  </si>
  <si>
    <t xml:space="preserve">Proposal Approved. Write the app behaviour into FR-30.</t>
  </si>
  <si>
    <t xml:space="preserve">Requirements: FR-30 · Tests: §9 item 4</t>
  </si>
  <si>
    <t xml:space="preserve">D-10</t>
  </si>
  <si>
    <t xml:space="preserve">Show the allowed range at each input field</t>
  </si>
  <si>
    <t xml:space="preserve">Limits are checked only after all answers: the customer fills in everything and then sees "we stop here for safety".</t>
  </si>
  <si>
    <t xml:space="preserve">Show the permissible range as a clear note beside each dimension or weight field (e.g. "Weight: max. 25 kg on plasterboard", "Depth: max. 30 cm"); the note follows earlier answers (e.g. wall type). New requirement – EN: "Display the permissible range for each dimension or physical specification as a clear note beside the corresponding input field, so customers know the safety limits before making their selection." DE: "Der zulässige Bereich jeder Abmessung oder physikalischen Angabe wird als deutlicher Hinweis neben dem jeweiligen Eingabefeld angezeigt, damit Kunden die Sicherheitsgrenzen vor ihrer Auswahl kennen."</t>
  </si>
  <si>
    <t xml:space="preserve">No disappointment at the end; customers choose within the limits.</t>
  </si>
  <si>
    <t xml:space="preserve">None – the stop rules stay as they are.</t>
  </si>
  <si>
    <t xml:space="preserve">1. Use a drop down option for possible length and width,citing the standrad dimensions (30, 50, 60, 75, 90, 100, 120cm). 
2. And for weight it is also a drop down with a min and maximum value. </t>
  </si>
  <si>
    <t xml:space="preserve">Decided – to verify with the vibe coder</t>
  </si>
  <si>
    <t xml:space="preserve">No change yet – requirement after verification with the vibe coder (noted in R1 summary and tests §9)</t>
  </si>
  <si>
    <t xml:space="preserve">D-11</t>
  </si>
  <si>
    <t xml:space="preserve">Add OBI Schwabach as 6th store</t>
  </si>
  <si>
    <t xml:space="preserve">5 sample stores (Nürnberg, Erlangen).</t>
  </si>
  <si>
    <t xml:space="preserve">Add OBI Markt Schwabach, Nürnberger Str. 86, 91126 Schwabach, Mo–Sa 8:00–20:00 (one persona lives there). Update the Stores and Store stock sheets (sample stock for all 105 products), "max. stores shown" from 5 to 6, DR-01 and FR-29 texts, and the tests that count 5 stores.</t>
  </si>
  <si>
    <t xml:space="preserve">Matches our persona.</t>
  </si>
  <si>
    <t xml:space="preserve">None for safety; tests must be updated.</t>
  </si>
  <si>
    <t xml:space="preserve">Requirements: DR-01, FR-29 · Tests: TC-107, fixture 6 stores</t>
  </si>
  <si>
    <t xml:space="preserve">D-12</t>
  </si>
  <si>
    <t xml:space="preserve">Update the design document (03-design.md)</t>
  </si>
  <si>
    <t xml:space="preserve">all</t>
  </si>
  <si>
    <t xml:space="preserve">Still v0.4 (25 Oct): 70 products, 5 stores, old CSV files, rules only for shelf and picture, templates "to be created"; DD-6 and DD-8 already built. Not used for the vibe coding.</t>
  </si>
  <si>
    <t xml:space="preserve">Bring it to v0.5 after this meeting, based on the app and today's decisions: 9 projects and safety levels, stop rules ST-01…ST-14, owned items, how-to links, range notes (D-10), 6 stores, rule table, data sources. Decide who and by when.</t>
  </si>
  <si>
    <t xml:space="preserve">Completes the V-model design phase.</t>
  </si>
  <si>
    <t xml:space="preserve">None – documentation only.</t>
  </si>
  <si>
    <t xml:space="preserve">Traceability – requirement → feature → tests</t>
  </si>
  <si>
    <t xml:space="preserve">Requirements and tests exactly as in the files of 27 Oct 2026 · release and MoSCoW from the requirement files</t>
  </si>
  <si>
    <t xml:space="preserve">Req. ID</t>
  </si>
  <si>
    <t xml:space="preserve">Type</t>
  </si>
  <si>
    <t xml:space="preserve">Requirement</t>
  </si>
  <si>
    <t xml:space="preserve">Team decision (file)</t>
  </si>
  <si>
    <t xml:space="preserve">Feature name</t>
  </si>
  <si>
    <t xml:space="preserve">Requirement file</t>
  </si>
  <si>
    <t xml:space="preserve">FR-02</t>
  </si>
  <si>
    <t xml:space="preserve">Functional</t>
  </si>
  <si>
    <t xml:space="preserve">Describe the project using a free-text description</t>
  </si>
  <si>
    <t xml:space="preserve">Discuss</t>
  </si>
  <si>
    <t xml:space="preserve">TC-001, TC-002, TC-003, TC-099</t>
  </si>
  <si>
    <t xml:space="preserve">requirements-R1-MVP_2026-10-27.md</t>
  </si>
  <si>
    <t xml:space="preserve">FR-03</t>
  </si>
  <si>
    <t xml:space="preserve">Classify project intent and extract candidate project description</t>
  </si>
  <si>
    <t xml:space="preserve">TC-001, TC-002, TC-003, TC-004, TC-099</t>
  </si>
  <si>
    <t xml:space="preserve">Changed 29 Oct 2026</t>
  </si>
  <si>
    <t xml:space="preserve">FR-04</t>
  </si>
  <si>
    <t xml:space="preserve">Capture measurements, units, constraints and owned items</t>
  </si>
  <si>
    <t xml:space="preserve">Accept</t>
  </si>
  <si>
    <t xml:space="preserve">TC-007, TC-014, TC-015, TC-097, TC-104, TC-105, TC-106</t>
  </si>
  <si>
    <t xml:space="preserve">FR-05</t>
  </si>
  <si>
    <t xml:space="preserve">Ask dependency-aware follow-up questions on at most 3 question screens; a screen may hold several questions if the project needs them.</t>
  </si>
  <si>
    <t xml:space="preserve">TC-016, TC-017</t>
  </si>
  <si>
    <t xml:space="preserve">FR-06</t>
  </si>
  <si>
    <t xml:space="preserve">Generate a structured bill of materials (BOM)</t>
  </si>
  <si>
    <t xml:space="preserve">TC-012, TC-018, TC-019, TC-025, TC-080, TC-083, TC-084, TC-086, TC-096, TC-105, UT-10</t>
  </si>
  <si>
    <t xml:space="preserve">FR-07</t>
  </si>
  <si>
    <t xml:space="preserve">Reconcile suitable owned items against the BOM</t>
  </si>
  <si>
    <t xml:space="preserve">TC-090</t>
  </si>
  <si>
    <t xml:space="preserve">FR-08</t>
  </si>
  <si>
    <t xml:space="preserve">Match exact catalogue products and variants</t>
  </si>
  <si>
    <t xml:space="preserve">TC-013, TC-020, TC-069, TC-088, UT-08, RT-07</t>
  </si>
  <si>
    <t xml:space="preserve">FR-09</t>
  </si>
  <si>
    <t xml:space="preserve">Validate product and component compatibility</t>
  </si>
  <si>
    <t xml:space="preserve">TC-013, TC-021, TC-088, UT-06</t>
  </si>
  <si>
    <t xml:space="preserve">FR-11</t>
  </si>
  <si>
    <t xml:space="preserve">Show price, availability and store information</t>
  </si>
  <si>
    <t xml:space="preserve">TC-022, TC-023, TC-024, TC-025, UT-10</t>
  </si>
  <si>
    <t xml:space="preserve">FR-15</t>
  </si>
  <si>
    <t xml:space="preserve">Present safety stops and escalation</t>
  </si>
  <si>
    <t xml:space="preserve">TC-026, TC-082, TC-085, TC-086, TC-087, TC-089, TC-093, RT-01, RT-02, RT-03, RT-04</t>
  </si>
  <si>
    <t xml:space="preserve">FR-17</t>
  </si>
  <si>
    <t xml:space="preserve">Save the complete project list on the device – products, prices, section subtotals and total, items marked "I already have this", aisle and shelf (if a PLZ was given) and the OBI how-to links – so the customer can share it with anyone.</t>
  </si>
  <si>
    <t xml:space="preserve">TC-100</t>
  </si>
  <si>
    <t xml:space="preserve">FR-25</t>
  </si>
  <si>
    <t xml:space="preserve">Describe the project using speech (speech-to-text, German/English); the transcript is shown as editable text and confirmed before use</t>
  </si>
  <si>
    <t xml:space="preserve">TC-005, TC-006, TC-007, TC-008, TC-052, TC-056, TC-064, RT-08</t>
  </si>
  <si>
    <t xml:space="preserve">FR-27</t>
  </si>
  <si>
    <t xml:space="preserve">Classify project intent from speech input and extract candidate project description</t>
  </si>
  <si>
    <t xml:space="preserve">TC-005, TC-006, TC-008</t>
  </si>
  <si>
    <t xml:space="preserve">FR-29</t>
  </si>
  <si>
    <t xml:space="preserve">Optionally enter a German postcode (PLZ, 5 digits) at the start; the app lists the sample OBI stores sorted by distance (nearest first) and the customer chooses one; a store is never selected automatically (SR-06, RB-16); the chosen store is shown with a "change" option. The PLZ is processed on the device only. Invalid PLZ or no store within range → message plus full store list.</t>
  </si>
  <si>
    <t xml:space="preserve">TC-009, TC-010, TC-011, TC-055, TC-078, TC-107, UT-02, UT-03</t>
  </si>
  <si>
    <t xml:space="preserve">FR-30</t>
  </si>
  <si>
    <t xml:space="preserve">Provide the complete, checked shopping list without a PLZ; aisle and shelf are shown as "not available" with a hint to add a PLZ. Product selection, compatibility and safety checks are identical with or without a PLZ. Without a store the catalogue price (sample value) is shown; stock, aisle and shelf are shown as "not available".</t>
  </si>
  <si>
    <t xml:space="preserve">TC-012, TC-013, TC-053, UT-12</t>
  </si>
  <si>
    <t xml:space="preserve">FR-31</t>
  </si>
  <si>
    <t xml:space="preserve">If a list item is out of stock (qty 0) or not carried (no aisle) in the selected store, it stays on the list marked "not available here", and the app names the nearest other sample store that has it in stock (distance from the entered PLZ). If no store has it → "please ask staff". No automatic substitution.</t>
  </si>
  <si>
    <t xml:space="preserve">TC-024, TC-079</t>
  </si>
  <si>
    <t xml:space="preserve">Show the how-to links that the team checked for a project (video or article), as links only; https and allow-listed hosts only; German-only content is labelled in English mode</t>
  </si>
  <si>
    <t xml:space="preserve">Proposed</t>
  </si>
  <si>
    <t xml:space="preserve">FR-33</t>
  </si>
  <si>
    <t xml:space="preserve">Ask for defects of used load-bearing items (cracks, swollen chipboard, bent metal, missing parts); a reported defect means the part must be replaced: it stays on the list and the customer sees a replace note</t>
  </si>
  <si>
    <t xml:space="preserve">TC-091</t>
  </si>
  <si>
    <t xml:space="preserve">FR-34</t>
  </si>
  <si>
    <t xml:space="preserve">Each section of the list (Materials, Tools, Safety gear) shows its subtotal; the subtotals and the total drop by the price of an item marked "I already have this" and rise again when it is restored.</t>
  </si>
  <si>
    <t xml:space="preserve">TC-090, TC-102</t>
  </si>
  <si>
    <t xml:space="preserve">SR-01</t>
  </si>
  <si>
    <t xml:space="preserve">Safety</t>
  </si>
  <si>
    <t xml:space="preserve">Separate textual guesses from user-confirmed facts and manufacturer-supported specifications.</t>
  </si>
  <si>
    <t xml:space="preserve">TC-014, TC-027, UT-01</t>
  </si>
  <si>
    <t xml:space="preserve">SR-02</t>
  </si>
  <si>
    <t xml:space="preserve">Never certify wall type, allowable load, concealed services or safe drilling locations. A detector's negative result is not clearance to drill.</t>
  </si>
  <si>
    <t xml:space="preserve">TC-028, TC-034</t>
  </si>
  <si>
    <t xml:space="preserve">SR-03</t>
  </si>
  <si>
    <t xml:space="preserve">Require confirmed substrate, fixing system, bracket geometry, intended loading and applicable installation conditions before a final mounting recommendation.</t>
  </si>
  <si>
    <t xml:space="preserve">TC-012, TC-029, TC-030, TC-032, TC-045, TC-080, TC-089, UT-04</t>
  </si>
  <si>
    <t xml:space="preserve">SR-04</t>
  </si>
  <si>
    <t xml:space="preserve">Do not calculate shelf capacity by adding nominal anchor ratings; rely on applicable system evidence or refer to a qualified person.</t>
  </si>
  <si>
    <t xml:space="preserve">TC-031, TC-087, UT-05</t>
  </si>
  <si>
    <t xml:space="preserve">SR-05</t>
  </si>
  <si>
    <t xml:space="preserve">Describe detector capabilities and limitations for relevant hazards; do not imply every detector finds every pipe, especially plastic pipes.</t>
  </si>
  <si>
    <t xml:space="preserve">TC-033, TC-034</t>
  </si>
  <si>
    <t xml:space="preserve">SR-06</t>
  </si>
  <si>
    <t xml:space="preserve">Inconclusive or missing evidence triggers a stop, not permission to proceed.</t>
  </si>
  <si>
    <t xml:space="preserve">TC-004, TC-010, TC-017, TC-030, TC-032, TC-035, TC-044, TC-085, TC-094, UT-04, RT-05</t>
  </si>
  <si>
    <t xml:space="preserve">SR-07</t>
  </si>
  <si>
    <t xml:space="preserve">Preserve manufacturer warnings, installation conditions and approved combinations; generated text cannot weaken them.</t>
  </si>
  <si>
    <t xml:space="preserve">TC-036, TC-037, TC-045, UT-11, RT-06</t>
  </si>
  <si>
    <t xml:space="preserve">SR-08</t>
  </si>
  <si>
    <t xml:space="preserve">Re-run safety and compatibility checks after changes to material, dimensions, load or product.</t>
  </si>
  <si>
    <t xml:space="preserve">TC-038, TC-039, UT-07</t>
  </si>
  <si>
    <t xml:space="preserve">SR-09</t>
  </si>
  <si>
    <t xml:space="preserve">Exclude high-risk work from the supported flow and provide an appropriate professional hand-off.</t>
  </si>
  <si>
    <t xml:space="preserve">TC-026, TC-040, TC-041, TC-042, TC-044, TC-095, RT-01, RT-02, RT-03, RT-04, RT-08</t>
  </si>
  <si>
    <t xml:space="preserve">SR-10</t>
  </si>
  <si>
    <t xml:space="preserve">Qualified reviewers approve project templates and release-blocking test cases before public mounting guidance.</t>
  </si>
  <si>
    <t xml:space="preserve">TC-043, TC-099</t>
  </si>
  <si>
    <t xml:space="preserve">SR-11</t>
  </si>
  <si>
    <t xml:space="preserve">Separate speech guesses from user-confirmed facts and manufacturer-supported specifications.</t>
  </si>
  <si>
    <t xml:space="preserve">TC-007, TC-027, UT-01</t>
  </si>
  <si>
    <t xml:space="preserve">SR-13</t>
  </si>
  <si>
    <t xml:space="preserve">Stop when a load or a size is above the limit of the project for the confirmed wall type or object (limits from the project catalogue, sheet Limits; limits are for the whole object, never per plug). Size stops name the part, the needed size and the available catalogue sizes in the unit of the question.</t>
  </si>
  <si>
    <t xml:space="preserve">TC-081, TC-082, TC-083, TC-085, TC-086, TC-087, TC-088, TC-089, TC-093, TC-096, TC-097, TC-105, TC-106</t>
  </si>
  <si>
    <t xml:space="preserve">SR-14</t>
  </si>
  <si>
    <t xml:space="preserve">Without a known load the worst case is assumed; if the worst case is above the limit, stop and ask to weigh the item or ask staff.</t>
  </si>
  <si>
    <t xml:space="preserve">TC-094, TC-104</t>
  </si>
  <si>
    <t xml:space="preserve">SR-15</t>
  </si>
  <si>
    <t xml:space="preserve">Owned parts may replace list items only where the project allows it; wall plugs and screws are always new; an owned load-bearing part must be undamaged and rated for the whole load × 1.25 on its own; a used load-bearing part with a reported defect is never accepted.</t>
  </si>
  <si>
    <t xml:space="preserve">TC-090, TC-091</t>
  </si>
  <si>
    <t xml:space="preserve">At every safety level (also Basic) the high-risk filter, the catalogue check, the unchanged product warnings and the output check always run.</t>
  </si>
  <si>
    <t xml:space="preserve">SR-17</t>
  </si>
  <si>
    <t xml:space="preserve">When a tool or a safety-gear item is marked "I already have this", the app shows the hint "Keep the right tool and gear to ensure safety."</t>
  </si>
  <si>
    <t xml:space="preserve">TC-103</t>
  </si>
  <si>
    <t xml:space="preserve">NFR-01</t>
  </si>
  <si>
    <t xml:space="preserve">Non-functional</t>
  </si>
  <si>
    <t xml:space="preserve">Mobile-first; core flow completable in under two minutes in usability testing without instructions.</t>
  </si>
  <si>
    <t xml:space="preserve">TC-046, TC-047</t>
  </si>
  <si>
    <t xml:space="preserve">NFR-02</t>
  </si>
  <si>
    <t xml:space="preserve">Catalogue lookup under one second; bounded MVP list generation under five seconds. For a multi-step pilot plan, show progress and target under 60 s at p95.</t>
  </si>
  <si>
    <t xml:space="preserve">TC-048, TC-049</t>
  </si>
  <si>
    <t xml:space="preserve">NFR-03</t>
  </si>
  <si>
    <t xml:space="preserve">If the model fails, offer predefined project templates; recover partial state. Do not proceed when a required validation service fails.</t>
  </si>
  <si>
    <t xml:space="preserve">TC-050, TC-051, TC-052, TC-053, UT-09</t>
  </si>
  <si>
    <t xml:space="preserve">NFR-04</t>
  </si>
  <si>
    <t xml:space="preserve">GDPR principles; no mandatory login; minimise personal data sent to model providers; document retention, deletion and vendor handling.</t>
  </si>
  <si>
    <t xml:space="preserve">TC-054, TC-055, TC-056, TC-057, TC-101</t>
  </si>
  <si>
    <t xml:space="preserve">NFR-05</t>
  </si>
  <si>
    <t xml:space="preserve">Label AI-generated guidance; distinguish estimates, confirmed facts and verified specifications. Quantities are estimates unless validated.</t>
  </si>
  <si>
    <t xml:space="preserve">TC-058, TC-059, TC-104</t>
  </si>
  <si>
    <t xml:space="preserve">NFR-06</t>
  </si>
  <si>
    <t xml:space="preserve">Encryption, least privilege, upload scanning, tenant isolation, rate limits and redacted logs; restrict tools and outbound domains.</t>
  </si>
  <si>
    <t xml:space="preserve">TC-060, TC-061, TC-062</t>
  </si>
  <si>
    <t xml:space="preserve">NFR-07</t>
  </si>
  <si>
    <t xml:space="preserve">Treat retailer pages, uploaded images, OCR text and manuals as data, never as instructions to the system.</t>
  </si>
  <si>
    <t xml:space="preserve">TC-010, TC-063, TC-064, TC-092, RT-05, RT-06, RT-07</t>
  </si>
  <si>
    <t xml:space="preserve">NFR-09</t>
  </si>
  <si>
    <t xml:space="preserve">German and English; metric consistency and dimensional calculations tested in both.</t>
  </si>
  <si>
    <t xml:space="preserve">TC-002, TC-006, TC-015, TC-065, TC-093, TC-098</t>
  </si>
  <si>
    <t xml:space="preserve">NFR-10</t>
  </si>
  <si>
    <t xml:space="preserve">Catalogue and project-template data separate from code and replaceable by authorised APIs/feeds.</t>
  </si>
  <si>
    <t xml:space="preserve">TC-066, TC-067</t>
  </si>
  <si>
    <t xml:space="preserve">NFR-12</t>
  </si>
  <si>
    <t xml:space="preserve">Result in under two minutes: the customer gets the shopping list within two minutes after entering the project description (including answering the questions)</t>
  </si>
  <si>
    <t xml:space="preserve">TC-047</t>
  </si>
  <si>
    <t xml:space="preserve">DR-01</t>
  </si>
  <si>
    <t xml:space="preserve">Data</t>
  </si>
  <si>
    <t xml:space="preserve">One sample data workbook data/product_catalogue.xlsx (exported as products.csv, store_stock.csv, stores.csv) holds: Products sheet – product data once (size, material, load, wall types, compatibility, safety note, price); Store stock sheet – aisle, shelf and quantity per product for each of the 6 sample OBI stores (empty aisle = not carried, qty 0 = out of stock); Stores sheet – store name, address, PLZ, opening hours and coordinates. All aisle, shelf and stock values are labelled as sample data.</t>
  </si>
  <si>
    <t xml:space="preserve">Change</t>
  </si>
  <si>
    <t xml:space="preserve">TC-020, TC-068, TC-069, TC-096, TC-098, TC-106, TC-107</t>
  </si>
  <si>
    <t xml:space="preserve">DR-02</t>
  </si>
  <si>
    <t xml:space="preserve">[Merged into DR-01] Stock and price: static, clearly labelled mock values; later timestamped inventory source with agreed freshness policy.</t>
  </si>
  <si>
    <t xml:space="preserve">TC-022, TC-024, TC-059, TC-070, TC-079</t>
  </si>
  <si>
    <t xml:space="preserve">DR-03</t>
  </si>
  <si>
    <t xml:space="preserve">[Merged into DR-01] Store layout: one store with aisle/zone values only if verified; later branch-specific planogram source.</t>
  </si>
  <si>
    <t xml:space="preserve">TC-022, TC-023, TC-071, TC-079, UT-12</t>
  </si>
  <si>
    <t xml:space="preserve">DR-04</t>
  </si>
  <si>
    <t xml:space="preserve">Project templates: 9 reviewed project templates from the project catalogue, with explicit quantity rules.</t>
  </si>
  <si>
    <t xml:space="preserve">TC-019, TC-043, TC-072, TC-073, TC-080, TC-083, TC-084, TC-099</t>
  </si>
  <si>
    <t xml:space="preserve">DR-05</t>
  </si>
  <si>
    <t xml:space="preserve">Model: commercial multimodal model for bounded intent/extraction and clarification; schema-validated outputs.</t>
  </si>
  <si>
    <t xml:space="preserve">TC-051, TC-074, TC-075, UT-08, UT-09</t>
  </si>
  <si>
    <t xml:space="preserve">DR-06</t>
  </si>
  <si>
    <t xml:space="preserve">Saving: the project list is saved as a file on the device only; nothing is stored on a server and the PLZ itself is not included (only the chosen store).</t>
  </si>
  <si>
    <t xml:space="preserve">DR-07</t>
  </si>
  <si>
    <t xml:space="preserve">Evidence registry: source and retrieval time for curated records; later version, licence and lineage.</t>
  </si>
  <si>
    <t xml:space="preserve">TC-076</t>
  </si>
  <si>
    <t xml:space="preserve">DR-08</t>
  </si>
  <si>
    <t xml:space="preserve">PLZ reference table (German PLZ → centre coordinates) from an open data source; source, licence and date documented; stored as a data file, not in code.</t>
  </si>
  <si>
    <t xml:space="preserve">TC-009, TC-077, TC-078, UT-02, UT-03</t>
  </si>
  <si>
    <t xml:space="preserve">Explain recommendations and unresolved facts</t>
  </si>
  <si>
    <t xml:space="preserve">requirements-R2-R4_2026-10-27.md</t>
  </si>
  <si>
    <t xml:space="preserve">Offer feasible basket options and alternatives</t>
  </si>
  <si>
    <t xml:space="preserve">Provide an offline project checklist</t>
  </si>
  <si>
    <t xml:space="preserve">Link assembly steps to reviewed sources</t>
  </si>
  <si>
    <t xml:space="preserve">Accessible contrast, scalable text, screen-reader labels and a non-map shopping route.</t>
  </si>
  <si>
    <t xml:space="preserve">Create, save, resume and delete a project</t>
  </si>
  <si>
    <t xml:space="preserve">FR-13</t>
  </si>
  <si>
    <t xml:space="preserve">Support store search and retailer hand-off</t>
  </si>
  <si>
    <t xml:space="preserve">Show verified aisle/zone/rack locations</t>
  </si>
  <si>
    <t xml:space="preserve">FR-19</t>
  </si>
  <si>
    <t xml:space="preserve">Scan products during shopping</t>
  </si>
  <si>
    <t xml:space="preserve">FR-20</t>
  </si>
  <si>
    <t xml:space="preserve">Track assembly and deviations</t>
  </si>
  <si>
    <t xml:space="preserve">FR-22</t>
  </si>
  <si>
    <t xml:space="preserve">Share a summary with a store associate</t>
  </si>
  <si>
    <t xml:space="preserve">Add voice interaction or room visualisation</t>
  </si>
  <si>
    <t xml:space="preserve">FR-26</t>
  </si>
  <si>
    <t xml:space="preserve">Describe the project using photo upload; each photo has an explicit role (reference, room/installation area, owned item) and its content is only a candidate until confirmed</t>
  </si>
  <si>
    <t xml:space="preserve">FR-28</t>
  </si>
  <si>
    <t xml:space="preserve">Classify project intent from photo input and extract candidate project description</t>
  </si>
  <si>
    <t xml:space="preserve">SR-12</t>
  </si>
  <si>
    <t xml:space="preserve">Separate pictural guesses from user-confirmed facts and manufacturer-supported specifications.</t>
  </si>
  <si>
    <t xml:space="preserve">Track unsupported requests, escalations, incidents, source failures, latency and cost per completed project.</t>
  </si>
  <si>
    <t xml:space="preserve">FR-21</t>
  </si>
  <si>
    <t xml:space="preserve">Support an approved reservation integration</t>
  </si>
  <si>
    <t xml:space="preserve">FR-23</t>
  </si>
  <si>
    <t xml:space="preserve">Optimise baskets across retailers</t>
  </si>
  <si>
    <t xml:space="preserve">Coverage</t>
  </si>
  <si>
    <t xml:space="preserve">Not mapped to a feature</t>
  </si>
  <si>
    <t xml:space="preserve">R1 requirements</t>
  </si>
  <si>
    <t xml:space="preserve">R1 without a test</t>
  </si>
  <si>
    <t xml:space="preserve">Documents</t>
  </si>
  <si>
    <t xml:space="preserve">Paths in the team repository st854d2gpb-create/9_Applied-AI (main)</t>
  </si>
  <si>
    <t xml:space="preserve">Document</t>
  </si>
  <si>
    <t xml:space="preserve">File</t>
  </si>
  <si>
    <t xml:space="preserve">Content</t>
  </si>
  <si>
    <t xml:space="preserve">Status 28 Oct 2026</t>
  </si>
  <si>
    <t xml:space="preserve">Requirements R1</t>
  </si>
  <si>
    <t xml:space="preserve">requirements/requirements-R1-MVP_2026-10-27.md</t>
  </si>
  <si>
    <t xml:space="preserve">53 requirements (44 Must, 9 Should)</t>
  </si>
  <si>
    <t xml:space="preserve">Updated with the decisions of 29 Oct 2026</t>
  </si>
  <si>
    <t xml:space="preserve">Requirements R2–R4</t>
  </si>
  <si>
    <t xml:space="preserve">requirements/requirements-R2-R4_2026-10-27.md</t>
  </si>
  <si>
    <t xml:space="preserve">18 requirements</t>
  </si>
  <si>
    <t xml:space="preserve">Test cases</t>
  </si>
  <si>
    <t xml:space="preserve">test/01_test_cases_2026-10-27.md</t>
  </si>
  <si>
    <t xml:space="preserve">v1.2: TC-001…TC-107, UT-01…12, RT-01…08, 19 release gates; 97 automated tests PASS (27 Oct)</t>
  </si>
  <si>
    <t xml:space="preserve">Updated with the decisions of 29 Oct 2026; new tests NR</t>
  </si>
  <si>
    <t xml:space="preserve">Product catalogue</t>
  </si>
  <si>
    <t xml:space="preserve">data/product_catalogue.xlsx</t>
  </si>
  <si>
    <t xml:space="preserve">105 products EN/DE, stock in 5 stores</t>
  </si>
  <si>
    <t xml:space="preserve">To update: OBI Schwabach (D-11), aerated-concrete plugs and wood screws (D-5)</t>
  </si>
  <si>
    <t xml:space="preserve">Project catalogue</t>
  </si>
  <si>
    <t xml:space="preserve">data/project_catalogue.xlsx</t>
  </si>
  <si>
    <t xml:space="preserve">9 projects: questions, limits, items, stop rules, how-to links</t>
  </si>
  <si>
    <t xml:space="preserve">Draft; sliding-door rules to add (D-7), videos verified (D-9)</t>
  </si>
  <si>
    <t xml:space="preserve">App and templates</t>
  </si>
  <si>
    <t xml:space="preserve">app/ (templates in app/data/templates/)</t>
  </si>
  <si>
    <t xml:space="preserve">Web app, 9 project templates, automated tests</t>
  </si>
  <si>
    <t xml:space="preserve">Design</t>
  </si>
  <si>
    <t xml:space="preserve">data/03-design.md</t>
  </si>
  <si>
    <t xml:space="preserve">Architecture, components, rules</t>
  </si>
  <si>
    <t xml:space="preserve">v0.4 (25 Oct 2026) – outdated; update to v0.5 after the meeting (D-12)</t>
  </si>
  <si>
    <t xml:space="preserve">Change proposal</t>
  </si>
  <si>
    <t xml:space="preserve">docs/change-proposal-R1.md</t>
  </si>
  <si>
    <t xml:space="preserve">Built features and the team decisions D-1 … D-12</t>
  </si>
  <si>
    <t xml:space="preserve">Decided 29 Oct 2026</t>
  </si>
  <si>
    <t xml:space="preserve">Feature implementation plan</t>
  </si>
  <si>
    <t xml:space="preserve">docs/Feature_Implementation_Plan.xlsx</t>
  </si>
  <si>
    <t xml:space="preserve">This file</t>
  </si>
  <si>
    <t xml:space="preserve">v0.9</t>
  </si>
  <si>
    <t xml:space="preserve">Version history</t>
  </si>
  <si>
    <t xml:space="preserve">Update this plan after every major team decision</t>
  </si>
  <si>
    <t xml:space="preserve">Version</t>
  </si>
  <si>
    <t xml:space="preserve">Date</t>
  </si>
  <si>
    <t xml:space="preserve">What changed</t>
  </si>
  <si>
    <t xml:space="preserve">0.1–0.7</t>
  </si>
  <si>
    <t xml:space="preserve">26–27 Oct 2026</t>
  </si>
  <si>
    <t xml:space="preserve">Earlier drafts based on the old requirement workbook.</t>
  </si>
  <si>
    <t xml:space="preserve">0.8</t>
  </si>
  <si>
    <t xml:space="preserve">28 Oct 2026</t>
  </si>
  <si>
    <t xml:space="preserve">New basis: requirements and test cases of 27 Oct 2026 (colleague, after vibe coding). Features renumbered F-01…F-29 and simplified. Status per feature (built / partly / not built). Discussion list D-1…D-12. F-16 Save the project list = R1 / Must (agreed).</t>
  </si>
  <si>
    <t xml:space="preserve">0.8.1</t>
  </si>
  <si>
    <t xml:space="preserve">Discussion list simplified to D-1…D-10: owned items and prices merged (D-3), wood and aerated concrete together (D-5), release tests and text updates explained, price without postcode = built (D-9), speech simplified (D-10), team review finalised (removed).</t>
  </si>
  <si>
    <t xml:space="preserve">0.8.2</t>
  </si>
  <si>
    <t xml:space="preserve">D-5 = wood and aerated concrete with full feature in R1 (else not offered); new D-11: allowed range shown beside each input field.</t>
  </si>
  <si>
    <t xml:space="preserve">0.8.3</t>
  </si>
  <si>
    <t xml:space="preserve">Speech removed from the discussion (works in Chrome, Edge, Safari, phones – checked by Hari). Range note = D-10. New D-11: OBI Schwabach as 6th store. New D-12: update the design document.</t>
  </si>
  <si>
    <t xml:space="preserve">0.9</t>
  </si>
  <si>
    <t xml:space="preserve">29 Oct 2026</t>
  </si>
  <si>
    <t xml:space="preserve">Team decisions D-1 … D-12 recorded (Discussion: decision, result, changed in). Basis: updated requirements (53 R1, 18 R2–R4) and test cases v1.2. F-15 gets FR-34, SR-17, RB-24; F-11 RB-22; F-14 RB-25.</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</si>
</sst>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0563C1"/>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FFFF99"/>
        <bgColor rgb="FFFFF2CC"/>
      </patternFill>
    </fill>
    <fill>
      <patternFill patternType="solid">
        <fgColor rgb="FFFFF2CC"/>
        <bgColor rgb="FFFCE4D6"/>
      </patternFill>
    </fill>
    <fill>
      <patternFill patternType="solid">
        <fgColor rgb="FFFCE4D6"/>
        <bgColor rgb="FFFFF2CC"/>
      </patternFill>
    </fill>
    <fill>
      <patternFill patternType="solid">
        <fgColor rgb="FFDDEBF7"/>
        <bgColor rgb="FFEDEDED"/>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FFFF99"/>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github.com/st854d2gpb-create/9_Applied-AI/blob/main/requirements/requirements-R1-MVP_2026-10-27.md" TargetMode="External"/><Relationship Id="rId2" Type="http://schemas.openxmlformats.org/officeDocument/2006/relationships/hyperlink" Target="https://github.com/st854d2gpb-create/9_Applied-AI/blob/main/requirements/requirements-R1-MVP_2026-10-27.md" TargetMode="External"/><Relationship Id="rId3" Type="http://schemas.openxmlformats.org/officeDocument/2006/relationships/hyperlink" Target="https://github.com/st854d2gpb-create/9_Applied-AI/blob/main/requirements/requirements-R1-MVP_2026-10-27.md" TargetMode="External"/><Relationship Id="rId4" Type="http://schemas.openxmlformats.org/officeDocument/2006/relationships/hyperlink" Target="https://github.com/st854d2gpb-create/9_Applied-AI/blob/main/requirements/requirements-R1-MVP_2026-10-27.md" TargetMode="External"/><Relationship Id="rId5" Type="http://schemas.openxmlformats.org/officeDocument/2006/relationships/hyperlink" Target="https://github.com/st854d2gpb-create/9_Applied-AI/blob/main/requirements/requirements-R1-MVP_2026-10-27.md" TargetMode="External"/><Relationship Id="rId6" Type="http://schemas.openxmlformats.org/officeDocument/2006/relationships/hyperlink" Target="https://github.com/st854d2gpb-create/9_Applied-AI/blob/main/requirements/requirements-R1-MVP_2026-10-27.md" TargetMode="External"/><Relationship Id="rId7" Type="http://schemas.openxmlformats.org/officeDocument/2006/relationships/hyperlink" Target="https://github.com/st854d2gpb-create/9_Applied-AI/blob/main/requirements/requirements-R1-MVP_2026-10-27.md" TargetMode="External"/><Relationship Id="rId8" Type="http://schemas.openxmlformats.org/officeDocument/2006/relationships/hyperlink" Target="https://github.com/st854d2gpb-create/9_Applied-AI/blob/main/requirements/requirements-R1-MVP_2026-10-27.md" TargetMode="External"/><Relationship Id="rId9" Type="http://schemas.openxmlformats.org/officeDocument/2006/relationships/hyperlink" Target="https://github.com/st854d2gpb-create/9_Applied-AI/blob/main/requirements/requirements-R1-MVP_2026-10-27.md" TargetMode="External"/><Relationship Id="rId10" Type="http://schemas.openxmlformats.org/officeDocument/2006/relationships/hyperlink" Target="https://github.com/st854d2gpb-create/9_Applied-AI/blob/main/requirements/requirements-R1-MVP_2026-10-27.md" TargetMode="External"/><Relationship Id="rId11" Type="http://schemas.openxmlformats.org/officeDocument/2006/relationships/hyperlink" Target="https://github.com/st854d2gpb-create/9_Applied-AI/blob/main/requirements/requirements-R1-MVP_2026-10-27.md" TargetMode="External"/><Relationship Id="rId12" Type="http://schemas.openxmlformats.org/officeDocument/2006/relationships/hyperlink" Target="https://github.com/st854d2gpb-create/9_Applied-AI/blob/main/requirements/requirements-R1-MVP_2026-10-27.md" TargetMode="External"/><Relationship Id="rId13" Type="http://schemas.openxmlformats.org/officeDocument/2006/relationships/hyperlink" Target="https://github.com/st854d2gpb-create/9_Applied-AI/blob/main/requirements/requirements-R1-MVP_2026-10-27.md" TargetMode="External"/><Relationship Id="rId14" Type="http://schemas.openxmlformats.org/officeDocument/2006/relationships/hyperlink" Target="https://github.com/st854d2gpb-create/9_Applied-AI/blob/main/requirements/requirements-R1-MVP_2026-10-27.md" TargetMode="External"/><Relationship Id="rId15" Type="http://schemas.openxmlformats.org/officeDocument/2006/relationships/hyperlink" Target="https://github.com/st854d2gpb-create/9_Applied-AI/blob/main/requirements/requirements-R1-MVP_2026-10-27.md" TargetMode="External"/><Relationship Id="rId16" Type="http://schemas.openxmlformats.org/officeDocument/2006/relationships/hyperlink" Target="https://github.com/st854d2gpb-create/9_Applied-AI/blob/main/requirements/requirements-R1-MVP_2026-10-27.md" TargetMode="External"/><Relationship Id="rId17" Type="http://schemas.openxmlformats.org/officeDocument/2006/relationships/hyperlink" Target="https://github.com/st854d2gpb-create/9_Applied-AI/blob/main/requirements/requirements-R1-MVP_2026-10-27.md" TargetMode="External"/><Relationship Id="rId18" Type="http://schemas.openxmlformats.org/officeDocument/2006/relationships/hyperlink" Target="https://github.com/st854d2gpb-create/9_Applied-AI/blob/main/requirements/requirements-R1-MVP_2026-10-27.md" TargetMode="External"/><Relationship Id="rId19" Type="http://schemas.openxmlformats.org/officeDocument/2006/relationships/hyperlink" Target="https://github.com/st854d2gpb-create/9_Applied-AI/blob/main/requirements/requirements-R1-MVP_2026-10-27.md" TargetMode="External"/><Relationship Id="rId20" Type="http://schemas.openxmlformats.org/officeDocument/2006/relationships/hyperlink" Target="https://github.com/st854d2gpb-create/9_Applied-AI/blob/main/requirements/requirements-R1-MVP_2026-10-27.md" TargetMode="External"/><Relationship Id="rId21" Type="http://schemas.openxmlformats.org/officeDocument/2006/relationships/hyperlink" Target="https://github.com/st854d2gpb-create/9_Applied-AI/blob/main/requirements/requirements-R1-MVP_2026-10-27.md" TargetMode="External"/><Relationship Id="rId22" Type="http://schemas.openxmlformats.org/officeDocument/2006/relationships/hyperlink" Target="https://github.com/st854d2gpb-create/9_Applied-AI/blob/main/requirements/requirements-R1-MVP_2026-10-27.md" TargetMode="External"/><Relationship Id="rId23" Type="http://schemas.openxmlformats.org/officeDocument/2006/relationships/hyperlink" Target="https://github.com/st854d2gpb-create/9_Applied-AI/blob/main/requirements/requirements-R1-MVP_2026-10-27.md" TargetMode="External"/><Relationship Id="rId24" Type="http://schemas.openxmlformats.org/officeDocument/2006/relationships/hyperlink" Target="https://github.com/st854d2gpb-create/9_Applied-AI/blob/main/requirements/requirements-R1-MVP_2026-10-27.md" TargetMode="External"/><Relationship Id="rId25" Type="http://schemas.openxmlformats.org/officeDocument/2006/relationships/hyperlink" Target="https://github.com/st854d2gpb-create/9_Applied-AI/blob/main/requirements/requirements-R1-MVP_2026-10-27.md" TargetMode="External"/><Relationship Id="rId26" Type="http://schemas.openxmlformats.org/officeDocument/2006/relationships/hyperlink" Target="https://github.com/st854d2gpb-create/9_Applied-AI/blob/main/requirements/requirements-R1-MVP_2026-10-27.md" TargetMode="External"/><Relationship Id="rId27" Type="http://schemas.openxmlformats.org/officeDocument/2006/relationships/hyperlink" Target="https://github.com/st854d2gpb-create/9_Applied-AI/blob/main/requirements/requirements-R1-MVP_2026-10-27.md" TargetMode="External"/><Relationship Id="rId28" Type="http://schemas.openxmlformats.org/officeDocument/2006/relationships/hyperlink" Target="https://github.com/st854d2gpb-create/9_Applied-AI/blob/main/requirements/requirements-R1-MVP_2026-10-27.md" TargetMode="External"/><Relationship Id="rId29" Type="http://schemas.openxmlformats.org/officeDocument/2006/relationships/hyperlink" Target="https://github.com/st854d2gpb-create/9_Applied-AI/blob/main/requirements/requirements-R1-MVP_2026-10-27.md" TargetMode="External"/><Relationship Id="rId30" Type="http://schemas.openxmlformats.org/officeDocument/2006/relationships/hyperlink" Target="https://github.com/st854d2gpb-create/9_Applied-AI/blob/main/requirements/requirements-R1-MVP_2026-10-27.md" TargetMode="External"/><Relationship Id="rId31" Type="http://schemas.openxmlformats.org/officeDocument/2006/relationships/hyperlink" Target="https://github.com/st854d2gpb-create/9_Applied-AI/blob/main/requirements/requirements-R1-MVP_2026-10-27.md" TargetMode="External"/><Relationship Id="rId32" Type="http://schemas.openxmlformats.org/officeDocument/2006/relationships/hyperlink" Target="https://github.com/st854d2gpb-create/9_Applied-AI/blob/main/requirements/requirements-R1-MVP_2026-10-27.md" TargetMode="External"/><Relationship Id="rId33" Type="http://schemas.openxmlformats.org/officeDocument/2006/relationships/hyperlink" Target="https://github.com/st854d2gpb-create/9_Applied-AI/blob/main/requirements/requirements-R1-MVP_2026-10-27.md" TargetMode="External"/><Relationship Id="rId34" Type="http://schemas.openxmlformats.org/officeDocument/2006/relationships/hyperlink" Target="https://github.com/st854d2gpb-create/9_Applied-AI/blob/main/requirements/requirements-R1-MVP_2026-10-27.md" TargetMode="External"/><Relationship Id="rId35" Type="http://schemas.openxmlformats.org/officeDocument/2006/relationships/hyperlink" Target="https://github.com/st854d2gpb-create/9_Applied-AI/blob/main/requirements/requirements-R1-MVP_2026-10-27.md" TargetMode="External"/><Relationship Id="rId36" Type="http://schemas.openxmlformats.org/officeDocument/2006/relationships/hyperlink" Target="https://github.com/st854d2gpb-create/9_Applied-AI/blob/main/requirements/requirements-R1-MVP_2026-10-27.md" TargetMode="External"/><Relationship Id="rId37" Type="http://schemas.openxmlformats.org/officeDocument/2006/relationships/hyperlink" Target="https://github.com/st854d2gpb-create/9_Applied-AI/blob/main/requirements/requirements-R1-MVP_2026-10-27.md" TargetMode="External"/><Relationship Id="rId38" Type="http://schemas.openxmlformats.org/officeDocument/2006/relationships/hyperlink" Target="https://github.com/st854d2gpb-create/9_Applied-AI/blob/main/requirements/requirements-R1-MVP_2026-10-27.md" TargetMode="External"/><Relationship Id="rId39" Type="http://schemas.openxmlformats.org/officeDocument/2006/relationships/hyperlink" Target="https://github.com/st854d2gpb-create/9_Applied-AI/blob/main/requirements/requirements-R1-MVP_2026-10-27.md" TargetMode="External"/><Relationship Id="rId40" Type="http://schemas.openxmlformats.org/officeDocument/2006/relationships/hyperlink" Target="https://github.com/st854d2gpb-create/9_Applied-AI/blob/main/requirements/requirements-R1-MVP_2026-10-27.md" TargetMode="External"/><Relationship Id="rId41" Type="http://schemas.openxmlformats.org/officeDocument/2006/relationships/hyperlink" Target="https://github.com/st854d2gpb-create/9_Applied-AI/blob/main/requirements/requirements-R1-MVP_2026-10-27.md" TargetMode="External"/><Relationship Id="rId42" Type="http://schemas.openxmlformats.org/officeDocument/2006/relationships/hyperlink" Target="https://github.com/st854d2gpb-create/9_Applied-AI/blob/main/requirements/requirements-R1-MVP_2026-10-27.md" TargetMode="External"/><Relationship Id="rId43" Type="http://schemas.openxmlformats.org/officeDocument/2006/relationships/hyperlink" Target="https://github.com/st854d2gpb-create/9_Applied-AI/blob/main/requirements/requirements-R1-MVP_2026-10-27.md" TargetMode="External"/><Relationship Id="rId44" Type="http://schemas.openxmlformats.org/officeDocument/2006/relationships/hyperlink" Target="https://github.com/st854d2gpb-create/9_Applied-AI/blob/main/requirements/requirements-R1-MVP_2026-10-27.md" TargetMode="External"/><Relationship Id="rId45" Type="http://schemas.openxmlformats.org/officeDocument/2006/relationships/hyperlink" Target="https://github.com/st854d2gpb-create/9_Applied-AI/blob/main/requirements/requirements-R1-MVP_2026-10-27.md" TargetMode="External"/><Relationship Id="rId46" Type="http://schemas.openxmlformats.org/officeDocument/2006/relationships/hyperlink" Target="https://github.com/st854d2gpb-create/9_Applied-AI/blob/main/requirements/requirements-R1-MVP_2026-10-27.md" TargetMode="External"/><Relationship Id="rId47" Type="http://schemas.openxmlformats.org/officeDocument/2006/relationships/hyperlink" Target="https://github.com/st854d2gpb-create/9_Applied-AI/blob/main/requirements/requirements-R1-MVP_2026-10-27.md" TargetMode="External"/><Relationship Id="rId48" Type="http://schemas.openxmlformats.org/officeDocument/2006/relationships/hyperlink" Target="https://github.com/st854d2gpb-create/9_Applied-AI/blob/main/requirements/requirements-R1-MVP_2026-10-27.md" TargetMode="External"/><Relationship Id="rId49" Type="http://schemas.openxmlformats.org/officeDocument/2006/relationships/hyperlink" Target="https://github.com/st854d2gpb-create/9_Applied-AI/blob/main/requirements/requirements-R1-MVP_2026-10-27.md" TargetMode="External"/><Relationship Id="rId50" Type="http://schemas.openxmlformats.org/officeDocument/2006/relationships/hyperlink" Target="https://github.com/st854d2gpb-create/9_Applied-AI/blob/main/requirements/requirements-R1-MVP_2026-10-27.md" TargetMode="External"/><Relationship Id="rId51" Type="http://schemas.openxmlformats.org/officeDocument/2006/relationships/hyperlink" Target="https://github.com/st854d2gpb-create/9_Applied-AI/blob/main/requirements/requirements-R1-MVP_2026-10-27.md" TargetMode="External"/><Relationship Id="rId52" Type="http://schemas.openxmlformats.org/officeDocument/2006/relationships/hyperlink" Target="https://github.com/st854d2gpb-create/9_Applied-AI/blob/main/requirements/requirements-R1-MVP_2026-10-27.md" TargetMode="External"/><Relationship Id="rId53" Type="http://schemas.openxmlformats.org/officeDocument/2006/relationships/hyperlink" Target="https://github.com/st854d2gpb-create/9_Applied-AI/blob/main/requirements/requirements-R1-MVP_2026-10-27.md" TargetMode="External"/><Relationship Id="rId54" Type="http://schemas.openxmlformats.org/officeDocument/2006/relationships/hyperlink" Target="https://github.com/st854d2gpb-create/9_Applied-AI/blob/main/requirements/requirements-R2-R4_2026-10-27.md" TargetMode="External"/><Relationship Id="rId55" Type="http://schemas.openxmlformats.org/officeDocument/2006/relationships/hyperlink" Target="https://github.com/st854d2gpb-create/9_Applied-AI/blob/main/requirements/requirements-R2-R4_2026-10-27.md" TargetMode="External"/><Relationship Id="rId56" Type="http://schemas.openxmlformats.org/officeDocument/2006/relationships/hyperlink" Target="https://github.com/st854d2gpb-create/9_Applied-AI/blob/main/requirements/requirements-R2-R4_2026-10-27.md" TargetMode="External"/><Relationship Id="rId57" Type="http://schemas.openxmlformats.org/officeDocument/2006/relationships/hyperlink" Target="https://github.com/st854d2gpb-create/9_Applied-AI/blob/main/requirements/requirements-R2-R4_2026-10-27.md" TargetMode="External"/><Relationship Id="rId58" Type="http://schemas.openxmlformats.org/officeDocument/2006/relationships/hyperlink" Target="https://github.com/st854d2gpb-create/9_Applied-AI/blob/main/requirements/requirements-R2-R4_2026-10-27.md" TargetMode="External"/><Relationship Id="rId59" Type="http://schemas.openxmlformats.org/officeDocument/2006/relationships/hyperlink" Target="https://github.com/st854d2gpb-create/9_Applied-AI/blob/main/requirements/requirements-R2-R4_2026-10-27.md" TargetMode="External"/><Relationship Id="rId60" Type="http://schemas.openxmlformats.org/officeDocument/2006/relationships/hyperlink" Target="https://github.com/st854d2gpb-create/9_Applied-AI/blob/main/requirements/requirements-R2-R4_2026-10-27.md" TargetMode="External"/><Relationship Id="rId61" Type="http://schemas.openxmlformats.org/officeDocument/2006/relationships/hyperlink" Target="https://github.com/st854d2gpb-create/9_Applied-AI/blob/main/requirements/requirements-R2-R4_2026-10-27.md" TargetMode="External"/><Relationship Id="rId62" Type="http://schemas.openxmlformats.org/officeDocument/2006/relationships/hyperlink" Target="https://github.com/st854d2gpb-create/9_Applied-AI/blob/main/requirements/requirements-R2-R4_2026-10-27.md" TargetMode="External"/><Relationship Id="rId63" Type="http://schemas.openxmlformats.org/officeDocument/2006/relationships/hyperlink" Target="https://github.com/st854d2gpb-create/9_Applied-AI/blob/main/requirements/requirements-R2-R4_2026-10-27.md" TargetMode="External"/><Relationship Id="rId64" Type="http://schemas.openxmlformats.org/officeDocument/2006/relationships/hyperlink" Target="https://github.com/st854d2gpb-create/9_Applied-AI/blob/main/requirements/requirements-R2-R4_2026-10-27.md" TargetMode="External"/><Relationship Id="rId65" Type="http://schemas.openxmlformats.org/officeDocument/2006/relationships/hyperlink" Target="https://github.com/st854d2gpb-create/9_Applied-AI/blob/main/requirements/requirements-R2-R4_2026-10-27.md" TargetMode="External"/><Relationship Id="rId66" Type="http://schemas.openxmlformats.org/officeDocument/2006/relationships/hyperlink" Target="https://github.com/st854d2gpb-create/9_Applied-AI/blob/main/requirements/requirements-R2-R4_2026-10-27.md" TargetMode="External"/><Relationship Id="rId67" Type="http://schemas.openxmlformats.org/officeDocument/2006/relationships/hyperlink" Target="https://github.com/st854d2gpb-create/9_Applied-AI/blob/main/requirements/requirements-R2-R4_2026-10-27.md" TargetMode="External"/><Relationship Id="rId68" Type="http://schemas.openxmlformats.org/officeDocument/2006/relationships/hyperlink" Target="https://github.com/st854d2gpb-create/9_Applied-AI/blob/main/requirements/requirements-R2-R4_2026-10-27.md" TargetMode="External"/><Relationship Id="rId69" Type="http://schemas.openxmlformats.org/officeDocument/2006/relationships/hyperlink" Target="https://github.com/st854d2gpb-create/9_Applied-AI/blob/main/requirements/requirements-R2-R4_2026-10-27.md" TargetMode="External"/><Relationship Id="rId70" Type="http://schemas.openxmlformats.org/officeDocument/2006/relationships/hyperlink" Target="https://github.com/st854d2gpb-create/9_Applied-AI/blob/main/requirements/requirements-R2-R4_2026-10-27.md" TargetMode="External"/><Relationship Id="rId71" Type="http://schemas.openxmlformats.org/officeDocument/2006/relationships/hyperlink" Target="https://github.com/st854d2gpb-create/9_Applied-AI/blob/main/requirements/requirements-R2-R4_2026-10-27.md" TargetMode="External"/><Relationship Id="rId72"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github.com/st854d2gpb-create/9_Applied-AI/blob/main/requirements/requirements-R1-MVP_2026-10-27.md" TargetMode="External"/><Relationship Id="rId2" Type="http://schemas.openxmlformats.org/officeDocument/2006/relationships/hyperlink" Target="https://github.com/st854d2gpb-create/9_Applied-AI/blob/main/requirements/requirements-R2-R4_2026-10-27.md" TargetMode="External"/><Relationship Id="rId3" Type="http://schemas.openxmlformats.org/officeDocument/2006/relationships/hyperlink" Target="https://github.com/st854d2gpb-create/9_Applied-AI/blob/main/test/01_test_cases_2026-10-27.md" TargetMode="External"/><Relationship Id="rId4" Type="http://schemas.openxmlformats.org/officeDocument/2006/relationships/hyperlink" Target="https://github.com/st854d2gpb-create/9_Applied-AI/blob/main/data/product_catalogue.xlsx" TargetMode="External"/><Relationship Id="rId5" Type="http://schemas.openxmlformats.org/officeDocument/2006/relationships/hyperlink" Target="https://github.com/st854d2gpb-create/9_Applied-AI/blob/main/data/project_catalogue.xlsx" TargetMode="External"/><Relationship Id="rId6" Type="http://schemas.openxmlformats.org/officeDocument/2006/relationships/hyperlink" Target="https://github.com/st854d2gpb-create/9_Applied-AI/blob/main/data/03-design.md"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23.85" hidden="false" customHeight="false" outlineLevel="0" collapsed="false">
      <c r="A5" s="3" t="s">
        <v>4</v>
      </c>
      <c r="B5" s="4" t="s">
        <v>5</v>
      </c>
    </row>
    <row r="6" customFormat="false" ht="15" hidden="false" customHeight="false" outlineLevel="0" collapsed="false">
      <c r="A6" s="3" t="s">
        <v>6</v>
      </c>
      <c r="B6" s="4" t="s">
        <v>7</v>
      </c>
    </row>
    <row r="7" customFormat="false" ht="23.8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46"/>
    <col collapsed="false" customWidth="true" hidden="false" outlineLevel="0" max="5" min="4" style="0" width="9"/>
    <col collapsed="false" customWidth="true" hidden="false" outlineLevel="0" max="6" min="6" style="0" width="13"/>
    <col collapsed="false" customWidth="true" hidden="false" outlineLevel="0" max="7" min="7" style="0" width="30"/>
    <col collapsed="false" customWidth="true" hidden="false" outlineLevel="0" max="8" min="8" style="0" width="40"/>
    <col collapsed="false" customWidth="true" hidden="false" outlineLevel="0" max="9" min="9" style="0" width="20"/>
    <col collapsed="false" customWidth="true" hidden="false" outlineLevel="0" max="10" min="10" style="0" width="14"/>
    <col collapsed="false" customWidth="true" hidden="false" outlineLevel="0" max="11" min="11" style="0" width="46"/>
  </cols>
  <sheetData>
    <row r="1" customFormat="false" ht="17.35" hidden="false" customHeight="false" outlineLevel="0" collapsed="false">
      <c r="A1" s="1" t="s">
        <v>14</v>
      </c>
    </row>
    <row r="2" customFormat="false" ht="15" hidden="false" customHeight="false" outlineLevel="0" collapsed="false">
      <c r="A2" s="2" t="s">
        <v>15</v>
      </c>
    </row>
    <row r="4" customFormat="false" ht="23.85" hidden="false" customHeight="false" outlineLevel="0" collapsed="false">
      <c r="A4" s="5" t="s">
        <v>16</v>
      </c>
      <c r="B4" s="5" t="s">
        <v>17</v>
      </c>
      <c r="C4" s="5" t="s">
        <v>18</v>
      </c>
      <c r="D4" s="5" t="s">
        <v>19</v>
      </c>
      <c r="E4" s="5" t="s">
        <v>20</v>
      </c>
      <c r="F4" s="5" t="s">
        <v>21</v>
      </c>
      <c r="G4" s="5" t="s">
        <v>22</v>
      </c>
      <c r="H4" s="5" t="s">
        <v>23</v>
      </c>
      <c r="I4" s="5" t="s">
        <v>24</v>
      </c>
      <c r="J4" s="5" t="s">
        <v>25</v>
      </c>
      <c r="K4" s="5" t="s">
        <v>26</v>
      </c>
    </row>
    <row r="5" customFormat="false" ht="23.85" hidden="false" customHeight="false" outlineLevel="0" collapsed="false">
      <c r="A5" s="6" t="s">
        <v>27</v>
      </c>
      <c r="B5" s="4" t="s">
        <v>28</v>
      </c>
      <c r="C5" s="4" t="s">
        <v>29</v>
      </c>
      <c r="D5" s="4" t="s">
        <v>30</v>
      </c>
      <c r="E5" s="4" t="s">
        <v>31</v>
      </c>
      <c r="F5" s="7" t="s">
        <v>32</v>
      </c>
      <c r="G5" s="4" t="s">
        <v>33</v>
      </c>
      <c r="H5" s="4" t="s">
        <v>34</v>
      </c>
      <c r="I5" s="4" t="s">
        <v>35</v>
      </c>
      <c r="J5" s="4" t="s">
        <v>35</v>
      </c>
      <c r="K5" s="4"/>
    </row>
    <row r="6" customFormat="false" ht="23.85" hidden="false" customHeight="false" outlineLevel="0" collapsed="false">
      <c r="A6" s="6" t="s">
        <v>36</v>
      </c>
      <c r="B6" s="4" t="s">
        <v>37</v>
      </c>
      <c r="C6" s="4" t="s">
        <v>38</v>
      </c>
      <c r="D6" s="4" t="s">
        <v>30</v>
      </c>
      <c r="E6" s="4" t="s">
        <v>31</v>
      </c>
      <c r="F6" s="7" t="s">
        <v>32</v>
      </c>
      <c r="G6" s="4" t="s">
        <v>39</v>
      </c>
      <c r="H6" s="4" t="s">
        <v>40</v>
      </c>
      <c r="I6" s="4" t="s">
        <v>41</v>
      </c>
      <c r="J6" s="4" t="s">
        <v>35</v>
      </c>
      <c r="K6" s="4"/>
    </row>
    <row r="7" customFormat="false" ht="46.25" hidden="false" customHeight="false" outlineLevel="0" collapsed="false">
      <c r="A7" s="6" t="s">
        <v>42</v>
      </c>
      <c r="B7" s="4" t="s">
        <v>43</v>
      </c>
      <c r="C7" s="4" t="s">
        <v>44</v>
      </c>
      <c r="D7" s="4" t="s">
        <v>30</v>
      </c>
      <c r="E7" s="4" t="s">
        <v>31</v>
      </c>
      <c r="F7" s="7" t="s">
        <v>32</v>
      </c>
      <c r="G7" s="4" t="s">
        <v>45</v>
      </c>
      <c r="H7" s="4" t="s">
        <v>46</v>
      </c>
      <c r="I7" s="4" t="s">
        <v>35</v>
      </c>
      <c r="J7" s="8" t="s">
        <v>47</v>
      </c>
      <c r="K7" s="4" t="s">
        <v>48</v>
      </c>
    </row>
    <row r="8" customFormat="false" ht="79.85" hidden="false" customHeight="false" outlineLevel="0" collapsed="false">
      <c r="A8" s="6" t="s">
        <v>49</v>
      </c>
      <c r="B8" s="4" t="s">
        <v>50</v>
      </c>
      <c r="C8" s="4" t="s">
        <v>51</v>
      </c>
      <c r="D8" s="4" t="s">
        <v>30</v>
      </c>
      <c r="E8" s="4" t="s">
        <v>31</v>
      </c>
      <c r="F8" s="7" t="s">
        <v>32</v>
      </c>
      <c r="G8" s="4" t="s">
        <v>52</v>
      </c>
      <c r="H8" s="4" t="s">
        <v>53</v>
      </c>
      <c r="I8" s="4" t="s">
        <v>54</v>
      </c>
      <c r="J8" s="4" t="s">
        <v>35</v>
      </c>
      <c r="K8" s="4"/>
    </row>
    <row r="9" customFormat="false" ht="46.25" hidden="false" customHeight="false" outlineLevel="0" collapsed="false">
      <c r="A9" s="6" t="s">
        <v>55</v>
      </c>
      <c r="B9" s="4" t="s">
        <v>56</v>
      </c>
      <c r="C9" s="4" t="s">
        <v>57</v>
      </c>
      <c r="D9" s="4" t="s">
        <v>30</v>
      </c>
      <c r="E9" s="4" t="s">
        <v>31</v>
      </c>
      <c r="F9" s="7" t="s">
        <v>32</v>
      </c>
      <c r="G9" s="4" t="s">
        <v>58</v>
      </c>
      <c r="H9" s="4" t="s">
        <v>59</v>
      </c>
      <c r="I9" s="4" t="s">
        <v>60</v>
      </c>
      <c r="J9" s="4" t="s">
        <v>35</v>
      </c>
      <c r="K9" s="4"/>
    </row>
    <row r="10" customFormat="false" ht="35.05" hidden="false" customHeight="false" outlineLevel="0" collapsed="false">
      <c r="A10" s="6" t="s">
        <v>61</v>
      </c>
      <c r="B10" s="4" t="s">
        <v>62</v>
      </c>
      <c r="C10" s="4" t="s">
        <v>63</v>
      </c>
      <c r="D10" s="4" t="s">
        <v>30</v>
      </c>
      <c r="E10" s="4" t="s">
        <v>31</v>
      </c>
      <c r="F10" s="7" t="s">
        <v>32</v>
      </c>
      <c r="G10" s="4" t="s">
        <v>64</v>
      </c>
      <c r="H10" s="4" t="s">
        <v>65</v>
      </c>
      <c r="I10" s="4" t="s">
        <v>66</v>
      </c>
      <c r="J10" s="8" t="s">
        <v>67</v>
      </c>
      <c r="K10" s="4" t="s">
        <v>68</v>
      </c>
    </row>
    <row r="11" customFormat="false" ht="23.85" hidden="false" customHeight="false" outlineLevel="0" collapsed="false">
      <c r="A11" s="6" t="s">
        <v>69</v>
      </c>
      <c r="B11" s="4" t="s">
        <v>70</v>
      </c>
      <c r="C11" s="4" t="s">
        <v>71</v>
      </c>
      <c r="D11" s="4" t="s">
        <v>30</v>
      </c>
      <c r="E11" s="4" t="s">
        <v>31</v>
      </c>
      <c r="F11" s="7" t="s">
        <v>32</v>
      </c>
      <c r="G11" s="4" t="s">
        <v>72</v>
      </c>
      <c r="H11" s="4" t="s">
        <v>73</v>
      </c>
      <c r="I11" s="4" t="s">
        <v>74</v>
      </c>
      <c r="J11" s="8" t="s">
        <v>75</v>
      </c>
      <c r="K11" s="4" t="s">
        <v>76</v>
      </c>
    </row>
    <row r="12" customFormat="false" ht="46.25" hidden="false" customHeight="false" outlineLevel="0" collapsed="false">
      <c r="A12" s="6" t="s">
        <v>77</v>
      </c>
      <c r="B12" s="4" t="s">
        <v>78</v>
      </c>
      <c r="C12" s="4" t="s">
        <v>79</v>
      </c>
      <c r="D12" s="4" t="s">
        <v>30</v>
      </c>
      <c r="E12" s="4" t="s">
        <v>31</v>
      </c>
      <c r="F12" s="7" t="s">
        <v>32</v>
      </c>
      <c r="G12" s="4" t="s">
        <v>80</v>
      </c>
      <c r="H12" s="4" t="s">
        <v>81</v>
      </c>
      <c r="I12" s="4" t="s">
        <v>35</v>
      </c>
      <c r="J12" s="4" t="s">
        <v>35</v>
      </c>
      <c r="K12" s="4" t="s">
        <v>82</v>
      </c>
    </row>
    <row r="13" customFormat="false" ht="46.25" hidden="false" customHeight="false" outlineLevel="0" collapsed="false">
      <c r="A13" s="6" t="s">
        <v>83</v>
      </c>
      <c r="B13" s="4" t="s">
        <v>84</v>
      </c>
      <c r="C13" s="4" t="s">
        <v>85</v>
      </c>
      <c r="D13" s="4" t="s">
        <v>30</v>
      </c>
      <c r="E13" s="4" t="s">
        <v>31</v>
      </c>
      <c r="F13" s="7" t="s">
        <v>32</v>
      </c>
      <c r="G13" s="4" t="s">
        <v>86</v>
      </c>
      <c r="H13" s="4" t="s">
        <v>87</v>
      </c>
      <c r="I13" s="4" t="s">
        <v>88</v>
      </c>
      <c r="J13" s="4" t="s">
        <v>35</v>
      </c>
      <c r="K13" s="4"/>
    </row>
    <row r="14" customFormat="false" ht="23.85" hidden="false" customHeight="false" outlineLevel="0" collapsed="false">
      <c r="A14" s="6" t="s">
        <v>89</v>
      </c>
      <c r="B14" s="4" t="s">
        <v>90</v>
      </c>
      <c r="C14" s="4" t="s">
        <v>91</v>
      </c>
      <c r="D14" s="4" t="s">
        <v>30</v>
      </c>
      <c r="E14" s="4" t="s">
        <v>31</v>
      </c>
      <c r="F14" s="7" t="s">
        <v>32</v>
      </c>
      <c r="G14" s="4" t="s">
        <v>92</v>
      </c>
      <c r="H14" s="4" t="s">
        <v>93</v>
      </c>
      <c r="I14" s="4" t="s">
        <v>35</v>
      </c>
      <c r="J14" s="4" t="s">
        <v>35</v>
      </c>
      <c r="K14" s="4" t="s">
        <v>94</v>
      </c>
    </row>
    <row r="15" customFormat="false" ht="46.25" hidden="false" customHeight="false" outlineLevel="0" collapsed="false">
      <c r="A15" s="6" t="s">
        <v>95</v>
      </c>
      <c r="B15" s="4" t="s">
        <v>96</v>
      </c>
      <c r="C15" s="4" t="s">
        <v>97</v>
      </c>
      <c r="D15" s="4" t="s">
        <v>30</v>
      </c>
      <c r="E15" s="4" t="s">
        <v>31</v>
      </c>
      <c r="F15" s="7" t="s">
        <v>32</v>
      </c>
      <c r="G15" s="4" t="s">
        <v>98</v>
      </c>
      <c r="H15" s="4" t="s">
        <v>99</v>
      </c>
      <c r="I15" s="4" t="s">
        <v>100</v>
      </c>
      <c r="J15" s="8" t="s">
        <v>101</v>
      </c>
      <c r="K15" s="4" t="s">
        <v>102</v>
      </c>
    </row>
    <row r="16" customFormat="false" ht="15" hidden="false" customHeight="false" outlineLevel="0" collapsed="false">
      <c r="A16" s="6" t="s">
        <v>103</v>
      </c>
      <c r="B16" s="4" t="s">
        <v>104</v>
      </c>
      <c r="C16" s="4" t="s">
        <v>105</v>
      </c>
      <c r="D16" s="4" t="s">
        <v>30</v>
      </c>
      <c r="E16" s="4" t="s">
        <v>106</v>
      </c>
      <c r="F16" s="7" t="s">
        <v>32</v>
      </c>
      <c r="G16" s="4" t="s">
        <v>107</v>
      </c>
      <c r="H16" s="4" t="s">
        <v>108</v>
      </c>
      <c r="I16" s="4" t="s">
        <v>35</v>
      </c>
      <c r="J16" s="8" t="s">
        <v>47</v>
      </c>
      <c r="K16" s="4" t="s">
        <v>109</v>
      </c>
    </row>
    <row r="17" customFormat="false" ht="23.85" hidden="false" customHeight="false" outlineLevel="0" collapsed="false">
      <c r="A17" s="9" t="s">
        <v>110</v>
      </c>
      <c r="B17" s="4" t="s">
        <v>111</v>
      </c>
      <c r="C17" s="4" t="s">
        <v>112</v>
      </c>
      <c r="D17" s="4" t="s">
        <v>30</v>
      </c>
      <c r="E17" s="4" t="s">
        <v>31</v>
      </c>
      <c r="F17" s="10" t="s">
        <v>113</v>
      </c>
      <c r="G17" s="4" t="s">
        <v>114</v>
      </c>
      <c r="H17" s="4" t="s">
        <v>115</v>
      </c>
      <c r="I17" s="4" t="s">
        <v>116</v>
      </c>
      <c r="J17" s="8" t="s">
        <v>117</v>
      </c>
      <c r="K17" s="4" t="s">
        <v>118</v>
      </c>
    </row>
    <row r="18" customFormat="false" ht="23.85" hidden="false" customHeight="false" outlineLevel="0" collapsed="false">
      <c r="A18" s="6" t="s">
        <v>119</v>
      </c>
      <c r="B18" s="4" t="s">
        <v>120</v>
      </c>
      <c r="C18" s="4" t="s">
        <v>121</v>
      </c>
      <c r="D18" s="4" t="s">
        <v>30</v>
      </c>
      <c r="E18" s="4" t="s">
        <v>31</v>
      </c>
      <c r="F18" s="7" t="s">
        <v>32</v>
      </c>
      <c r="G18" s="4" t="s">
        <v>122</v>
      </c>
      <c r="H18" s="4" t="s">
        <v>123</v>
      </c>
      <c r="I18" s="4" t="s">
        <v>124</v>
      </c>
      <c r="J18" s="8" t="s">
        <v>125</v>
      </c>
      <c r="K18" s="4"/>
    </row>
    <row r="19" customFormat="false" ht="46.25" hidden="false" customHeight="false" outlineLevel="0" collapsed="false">
      <c r="A19" s="9" t="s">
        <v>126</v>
      </c>
      <c r="B19" s="4" t="s">
        <v>127</v>
      </c>
      <c r="C19" s="4" t="s">
        <v>128</v>
      </c>
      <c r="D19" s="4" t="s">
        <v>30</v>
      </c>
      <c r="E19" s="4" t="s">
        <v>31</v>
      </c>
      <c r="F19" s="10" t="s">
        <v>113</v>
      </c>
      <c r="G19" s="4" t="s">
        <v>129</v>
      </c>
      <c r="H19" s="4" t="s">
        <v>130</v>
      </c>
      <c r="I19" s="4" t="s">
        <v>131</v>
      </c>
      <c r="J19" s="8" t="s">
        <v>132</v>
      </c>
      <c r="K19" s="4" t="s">
        <v>133</v>
      </c>
    </row>
    <row r="20" customFormat="false" ht="23.85" hidden="false" customHeight="false" outlineLevel="0" collapsed="false">
      <c r="A20" s="11" t="s">
        <v>134</v>
      </c>
      <c r="B20" s="4" t="s">
        <v>135</v>
      </c>
      <c r="C20" s="4" t="s">
        <v>136</v>
      </c>
      <c r="D20" s="4" t="s">
        <v>30</v>
      </c>
      <c r="E20" s="4" t="s">
        <v>31</v>
      </c>
      <c r="F20" s="12" t="s">
        <v>137</v>
      </c>
      <c r="G20" s="4" t="s">
        <v>138</v>
      </c>
      <c r="H20" s="4" t="s">
        <v>139</v>
      </c>
      <c r="I20" s="4" t="s">
        <v>35</v>
      </c>
      <c r="J20" s="8" t="s">
        <v>140</v>
      </c>
      <c r="K20" s="4" t="s">
        <v>141</v>
      </c>
    </row>
    <row r="21" customFormat="false" ht="15" hidden="false" customHeight="false" outlineLevel="0" collapsed="false">
      <c r="A21" s="13" t="s">
        <v>142</v>
      </c>
      <c r="B21" s="4" t="s">
        <v>143</v>
      </c>
      <c r="C21" s="4" t="s">
        <v>144</v>
      </c>
      <c r="D21" s="4" t="s">
        <v>145</v>
      </c>
      <c r="E21" s="4" t="s">
        <v>31</v>
      </c>
      <c r="F21" s="14" t="s">
        <v>146</v>
      </c>
      <c r="G21" s="4" t="s">
        <v>147</v>
      </c>
      <c r="H21" s="4" t="s">
        <v>35</v>
      </c>
      <c r="I21" s="4" t="s">
        <v>35</v>
      </c>
      <c r="J21" s="4" t="s">
        <v>35</v>
      </c>
      <c r="K21" s="4" t="s">
        <v>148</v>
      </c>
    </row>
    <row r="22" customFormat="false" ht="15" hidden="false" customHeight="false" outlineLevel="0" collapsed="false">
      <c r="A22" s="13" t="s">
        <v>149</v>
      </c>
      <c r="B22" s="4" t="s">
        <v>150</v>
      </c>
      <c r="C22" s="4" t="s">
        <v>151</v>
      </c>
      <c r="D22" s="4" t="s">
        <v>145</v>
      </c>
      <c r="E22" s="4" t="s">
        <v>106</v>
      </c>
      <c r="F22" s="14" t="s">
        <v>146</v>
      </c>
      <c r="G22" s="4" t="s">
        <v>152</v>
      </c>
      <c r="H22" s="4" t="s">
        <v>35</v>
      </c>
      <c r="I22" s="4" t="s">
        <v>35</v>
      </c>
      <c r="J22" s="4" t="s">
        <v>35</v>
      </c>
      <c r="K22" s="4" t="s">
        <v>153</v>
      </c>
    </row>
    <row r="23" customFormat="false" ht="15" hidden="false" customHeight="false" outlineLevel="0" collapsed="false">
      <c r="A23" s="13" t="s">
        <v>154</v>
      </c>
      <c r="B23" s="4" t="s">
        <v>155</v>
      </c>
      <c r="C23" s="4" t="s">
        <v>156</v>
      </c>
      <c r="D23" s="4" t="s">
        <v>145</v>
      </c>
      <c r="E23" s="4" t="s">
        <v>106</v>
      </c>
      <c r="F23" s="14" t="s">
        <v>146</v>
      </c>
      <c r="G23" s="4" t="s">
        <v>157</v>
      </c>
      <c r="H23" s="4" t="s">
        <v>35</v>
      </c>
      <c r="I23" s="4" t="s">
        <v>158</v>
      </c>
      <c r="J23" s="4" t="s">
        <v>35</v>
      </c>
      <c r="K23" s="4"/>
    </row>
    <row r="24" customFormat="false" ht="15" hidden="false" customHeight="false" outlineLevel="0" collapsed="false">
      <c r="A24" s="13" t="s">
        <v>159</v>
      </c>
      <c r="B24" s="4" t="s">
        <v>160</v>
      </c>
      <c r="C24" s="4" t="s">
        <v>161</v>
      </c>
      <c r="D24" s="4" t="s">
        <v>145</v>
      </c>
      <c r="E24" s="4" t="s">
        <v>106</v>
      </c>
      <c r="F24" s="14" t="s">
        <v>146</v>
      </c>
      <c r="G24" s="4" t="s">
        <v>162</v>
      </c>
      <c r="H24" s="4" t="s">
        <v>35</v>
      </c>
      <c r="I24" s="4" t="s">
        <v>35</v>
      </c>
      <c r="J24" s="4" t="s">
        <v>35</v>
      </c>
      <c r="K24" s="4" t="s">
        <v>163</v>
      </c>
    </row>
    <row r="25" customFormat="false" ht="15" hidden="false" customHeight="false" outlineLevel="0" collapsed="false">
      <c r="A25" s="13" t="s">
        <v>164</v>
      </c>
      <c r="B25" s="4" t="s">
        <v>165</v>
      </c>
      <c r="C25" s="4" t="s">
        <v>166</v>
      </c>
      <c r="D25" s="4" t="s">
        <v>145</v>
      </c>
      <c r="E25" s="4" t="s">
        <v>106</v>
      </c>
      <c r="F25" s="14" t="s">
        <v>146</v>
      </c>
      <c r="G25" s="4" t="s">
        <v>167</v>
      </c>
      <c r="H25" s="4" t="s">
        <v>35</v>
      </c>
      <c r="I25" s="4" t="s">
        <v>35</v>
      </c>
      <c r="J25" s="4" t="s">
        <v>35</v>
      </c>
      <c r="K25" s="4"/>
    </row>
    <row r="26" customFormat="false" ht="15" hidden="false" customHeight="false" outlineLevel="0" collapsed="false">
      <c r="A26" s="13" t="s">
        <v>168</v>
      </c>
      <c r="B26" s="4" t="s">
        <v>169</v>
      </c>
      <c r="C26" s="4" t="s">
        <v>170</v>
      </c>
      <c r="D26" s="4" t="s">
        <v>171</v>
      </c>
      <c r="E26" s="4" t="s">
        <v>106</v>
      </c>
      <c r="F26" s="14" t="s">
        <v>146</v>
      </c>
      <c r="G26" s="4" t="s">
        <v>172</v>
      </c>
      <c r="H26" s="4" t="s">
        <v>35</v>
      </c>
      <c r="I26" s="4" t="s">
        <v>35</v>
      </c>
      <c r="J26" s="4" t="s">
        <v>35</v>
      </c>
      <c r="K26" s="4"/>
    </row>
    <row r="27" customFormat="false" ht="23.85" hidden="false" customHeight="false" outlineLevel="0" collapsed="false">
      <c r="A27" s="13" t="s">
        <v>173</v>
      </c>
      <c r="B27" s="4" t="s">
        <v>174</v>
      </c>
      <c r="C27" s="4" t="s">
        <v>175</v>
      </c>
      <c r="D27" s="4" t="s">
        <v>171</v>
      </c>
      <c r="E27" s="4" t="s">
        <v>31</v>
      </c>
      <c r="F27" s="14" t="s">
        <v>146</v>
      </c>
      <c r="G27" s="4" t="s">
        <v>176</v>
      </c>
      <c r="H27" s="4" t="s">
        <v>35</v>
      </c>
      <c r="I27" s="4" t="s">
        <v>177</v>
      </c>
      <c r="J27" s="4" t="s">
        <v>35</v>
      </c>
      <c r="K27" s="4"/>
    </row>
    <row r="28" customFormat="false" ht="15" hidden="false" customHeight="false" outlineLevel="0" collapsed="false">
      <c r="A28" s="13" t="s">
        <v>178</v>
      </c>
      <c r="B28" s="4" t="s">
        <v>179</v>
      </c>
      <c r="C28" s="4" t="s">
        <v>180</v>
      </c>
      <c r="D28" s="4" t="s">
        <v>171</v>
      </c>
      <c r="E28" s="4" t="s">
        <v>106</v>
      </c>
      <c r="F28" s="14" t="s">
        <v>146</v>
      </c>
      <c r="G28" s="4" t="s">
        <v>181</v>
      </c>
      <c r="H28" s="4" t="s">
        <v>35</v>
      </c>
      <c r="I28" s="4" t="s">
        <v>182</v>
      </c>
      <c r="J28" s="4" t="s">
        <v>35</v>
      </c>
      <c r="K28" s="4"/>
    </row>
    <row r="29" customFormat="false" ht="15" hidden="false" customHeight="false" outlineLevel="0" collapsed="false">
      <c r="A29" s="13" t="s">
        <v>183</v>
      </c>
      <c r="B29" s="4" t="s">
        <v>184</v>
      </c>
      <c r="C29" s="4" t="s">
        <v>185</v>
      </c>
      <c r="D29" s="4" t="s">
        <v>171</v>
      </c>
      <c r="E29" s="4" t="s">
        <v>106</v>
      </c>
      <c r="F29" s="14" t="s">
        <v>146</v>
      </c>
      <c r="G29" s="4" t="s">
        <v>186</v>
      </c>
      <c r="H29" s="4" t="s">
        <v>35</v>
      </c>
      <c r="I29" s="4" t="s">
        <v>35</v>
      </c>
      <c r="J29" s="4" t="s">
        <v>35</v>
      </c>
      <c r="K29" s="4"/>
    </row>
    <row r="30" customFormat="false" ht="15" hidden="false" customHeight="false" outlineLevel="0" collapsed="false">
      <c r="A30" s="13" t="s">
        <v>187</v>
      </c>
      <c r="B30" s="4" t="s">
        <v>188</v>
      </c>
      <c r="C30" s="4" t="s">
        <v>189</v>
      </c>
      <c r="D30" s="4" t="s">
        <v>171</v>
      </c>
      <c r="E30" s="4" t="s">
        <v>190</v>
      </c>
      <c r="F30" s="14" t="s">
        <v>146</v>
      </c>
      <c r="G30" s="4" t="s">
        <v>191</v>
      </c>
      <c r="H30" s="4" t="s">
        <v>35</v>
      </c>
      <c r="I30" s="4" t="s">
        <v>192</v>
      </c>
      <c r="J30" s="4" t="s">
        <v>35</v>
      </c>
      <c r="K30" s="4"/>
    </row>
    <row r="31" customFormat="false" ht="15" hidden="false" customHeight="false" outlineLevel="0" collapsed="false">
      <c r="A31" s="13" t="s">
        <v>193</v>
      </c>
      <c r="B31" s="4" t="s">
        <v>194</v>
      </c>
      <c r="C31" s="4" t="s">
        <v>195</v>
      </c>
      <c r="D31" s="4" t="s">
        <v>171</v>
      </c>
      <c r="E31" s="4" t="s">
        <v>190</v>
      </c>
      <c r="F31" s="14" t="s">
        <v>146</v>
      </c>
      <c r="G31" s="4" t="s">
        <v>196</v>
      </c>
      <c r="H31" s="4" t="s">
        <v>35</v>
      </c>
      <c r="I31" s="4" t="s">
        <v>35</v>
      </c>
      <c r="J31" s="4" t="s">
        <v>35</v>
      </c>
      <c r="K31" s="4"/>
    </row>
    <row r="32" customFormat="false" ht="15" hidden="false" customHeight="false" outlineLevel="0" collapsed="false">
      <c r="A32" s="13" t="s">
        <v>197</v>
      </c>
      <c r="B32" s="4" t="s">
        <v>198</v>
      </c>
      <c r="C32" s="4" t="s">
        <v>199</v>
      </c>
      <c r="D32" s="4" t="s">
        <v>171</v>
      </c>
      <c r="E32" s="4" t="s">
        <v>106</v>
      </c>
      <c r="F32" s="14" t="s">
        <v>146</v>
      </c>
      <c r="G32" s="4" t="s">
        <v>200</v>
      </c>
      <c r="H32" s="4" t="s">
        <v>35</v>
      </c>
      <c r="I32" s="4" t="s">
        <v>35</v>
      </c>
      <c r="J32" s="4" t="s">
        <v>35</v>
      </c>
      <c r="K32" s="4"/>
    </row>
    <row r="33" customFormat="false" ht="15" hidden="false" customHeight="false" outlineLevel="0" collapsed="false">
      <c r="A33" s="15" t="s">
        <v>201</v>
      </c>
      <c r="B33" s="4" t="s">
        <v>202</v>
      </c>
      <c r="C33" s="4" t="s">
        <v>203</v>
      </c>
      <c r="D33" s="4" t="s">
        <v>204</v>
      </c>
      <c r="E33" s="4" t="s">
        <v>205</v>
      </c>
      <c r="F33" s="16" t="s">
        <v>206</v>
      </c>
      <c r="G33" s="4" t="s">
        <v>207</v>
      </c>
      <c r="H33" s="4" t="s">
        <v>35</v>
      </c>
      <c r="I33" s="4" t="s">
        <v>208</v>
      </c>
      <c r="J33" s="4" t="s">
        <v>35</v>
      </c>
      <c r="K33" s="4"/>
    </row>
    <row r="35" customFormat="false" ht="15" hidden="false" customHeight="false" outlineLevel="0" collapsed="false">
      <c r="A35" s="17" t="s">
        <v>209</v>
      </c>
    </row>
    <row r="36" customFormat="false" ht="15" hidden="false" customHeight="false" outlineLevel="0" collapsed="false">
      <c r="B36" s="18" t="s">
        <v>32</v>
      </c>
      <c r="C36" s="18" t="n">
        <f aca="false">COUNTIF($F$5:$F$33,B36)</f>
        <v>13</v>
      </c>
    </row>
    <row r="37" customFormat="false" ht="15" hidden="false" customHeight="false" outlineLevel="0" collapsed="false">
      <c r="B37" s="18" t="s">
        <v>113</v>
      </c>
      <c r="C37" s="18" t="n">
        <f aca="false">COUNTIF($F$5:$F$33,B37)</f>
        <v>2</v>
      </c>
    </row>
    <row r="38" customFormat="false" ht="15" hidden="false" customHeight="false" outlineLevel="0" collapsed="false">
      <c r="B38" s="18" t="s">
        <v>137</v>
      </c>
      <c r="C38" s="18" t="n">
        <f aca="false">COUNTIF($F$5:$F$33,B38)</f>
        <v>1</v>
      </c>
    </row>
    <row r="39" customFormat="false" ht="15" hidden="false" customHeight="false" outlineLevel="0" collapsed="false">
      <c r="B39" s="18" t="s">
        <v>146</v>
      </c>
      <c r="C39" s="18" t="n">
        <f aca="false">COUNTIF($F$5:$F$33,B39)</f>
        <v>12</v>
      </c>
    </row>
    <row r="40" customFormat="false" ht="15" hidden="false" customHeight="false" outlineLevel="0" collapsed="false">
      <c r="B40" s="18" t="s">
        <v>206</v>
      </c>
      <c r="C40" s="18" t="n">
        <f aca="false">COUNTIF($F$5:$F$33,B40)</f>
        <v>1</v>
      </c>
    </row>
    <row r="41" customFormat="false" ht="15" hidden="false" customHeight="false" outlineLevel="0" collapsed="false">
      <c r="B41" s="17" t="s">
        <v>210</v>
      </c>
      <c r="C41" s="17" t="n">
        <f aca="false">SUM(C36:C40)</f>
        <v>29</v>
      </c>
    </row>
  </sheetData>
  <autoFilter ref="A4:K33"/>
  <dataValidations count="1">
    <dataValidation allowBlank="false" errorStyle="stop" operator="between" showDropDown="false" showErrorMessage="false" showInputMessage="false" sqref="F5:F33" type="list">
      <formula1>"Built,Partly built,Not built,Planned,Not planned"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12"/>
    <col collapsed="false" customWidth="true" hidden="false" outlineLevel="0" max="4" min="4" style="0" width="40"/>
    <col collapsed="false" customWidth="true" hidden="false" outlineLevel="0" max="5" min="5" style="0" width="52"/>
    <col collapsed="false" customWidth="true" hidden="false" outlineLevel="0" max="6" min="6" style="0" width="34"/>
    <col collapsed="false" customWidth="true" hidden="false" outlineLevel="0" max="7" min="7" style="0" width="40"/>
    <col collapsed="false" customWidth="true" hidden="false" outlineLevel="0" max="8" min="8" style="0" width="50"/>
    <col collapsed="false" customWidth="true" hidden="false" outlineLevel="0" max="9" min="9" style="0" width="16"/>
    <col collapsed="false" customWidth="true" hidden="false" outlineLevel="0" max="10" min="10" style="0" width="40"/>
  </cols>
  <sheetData>
    <row r="1" customFormat="false" ht="17.35" hidden="false" customHeight="false" outlineLevel="0" collapsed="false">
      <c r="A1" s="1" t="s">
        <v>211</v>
      </c>
    </row>
    <row r="2" customFormat="false" ht="15" hidden="false" customHeight="false" outlineLevel="0" collapsed="false">
      <c r="A2" s="2" t="s">
        <v>212</v>
      </c>
    </row>
    <row r="4" customFormat="false" ht="15" hidden="false" customHeight="false" outlineLevel="0" collapsed="false">
      <c r="A4" s="5" t="s">
        <v>213</v>
      </c>
      <c r="B4" s="5" t="s">
        <v>214</v>
      </c>
      <c r="C4" s="5" t="s">
        <v>16</v>
      </c>
      <c r="D4" s="5" t="s">
        <v>215</v>
      </c>
      <c r="E4" s="5" t="s">
        <v>216</v>
      </c>
      <c r="F4" s="5" t="s">
        <v>217</v>
      </c>
      <c r="G4" s="5" t="s">
        <v>218</v>
      </c>
      <c r="H4" s="5" t="s">
        <v>219</v>
      </c>
      <c r="I4" s="5" t="s">
        <v>220</v>
      </c>
      <c r="J4" s="5" t="s">
        <v>221</v>
      </c>
    </row>
    <row r="5" customFormat="false" ht="23.85" hidden="false" customHeight="false" outlineLevel="0" collapsed="false">
      <c r="A5" s="3" t="s">
        <v>140</v>
      </c>
      <c r="B5" s="3" t="s">
        <v>135</v>
      </c>
      <c r="C5" s="4" t="s">
        <v>134</v>
      </c>
      <c r="D5" s="4" t="s">
        <v>222</v>
      </c>
      <c r="E5" s="4" t="s">
        <v>223</v>
      </c>
      <c r="F5" s="4" t="s">
        <v>224</v>
      </c>
      <c r="G5" s="4" t="s">
        <v>225</v>
      </c>
      <c r="H5" s="19" t="s">
        <v>226</v>
      </c>
      <c r="I5" s="6" t="s">
        <v>227</v>
      </c>
      <c r="J5" s="4" t="s">
        <v>228</v>
      </c>
    </row>
    <row r="6" customFormat="false" ht="35.05" hidden="false" customHeight="false" outlineLevel="0" collapsed="false">
      <c r="A6" s="3" t="s">
        <v>117</v>
      </c>
      <c r="B6" s="3" t="s">
        <v>229</v>
      </c>
      <c r="C6" s="4" t="s">
        <v>110</v>
      </c>
      <c r="D6" s="4" t="s">
        <v>230</v>
      </c>
      <c r="E6" s="4" t="s">
        <v>231</v>
      </c>
      <c r="F6" s="4" t="s">
        <v>232</v>
      </c>
      <c r="G6" s="4" t="s">
        <v>233</v>
      </c>
      <c r="H6" s="19" t="s">
        <v>234</v>
      </c>
      <c r="I6" s="6" t="s">
        <v>227</v>
      </c>
      <c r="J6" s="4" t="s">
        <v>235</v>
      </c>
    </row>
    <row r="7" customFormat="false" ht="68.65" hidden="false" customHeight="false" outlineLevel="0" collapsed="false">
      <c r="A7" s="3" t="s">
        <v>236</v>
      </c>
      <c r="B7" s="3" t="s">
        <v>237</v>
      </c>
      <c r="C7" s="4" t="s">
        <v>126</v>
      </c>
      <c r="D7" s="4" t="s">
        <v>238</v>
      </c>
      <c r="E7" s="4" t="s">
        <v>239</v>
      </c>
      <c r="F7" s="4" t="s">
        <v>240</v>
      </c>
      <c r="G7" s="4" t="s">
        <v>241</v>
      </c>
      <c r="H7" s="19" t="s">
        <v>242</v>
      </c>
      <c r="I7" s="6" t="s">
        <v>227</v>
      </c>
      <c r="J7" s="4" t="s">
        <v>243</v>
      </c>
    </row>
    <row r="8" customFormat="false" ht="23.85" hidden="false" customHeight="false" outlineLevel="0" collapsed="false">
      <c r="A8" s="3" t="s">
        <v>244</v>
      </c>
      <c r="B8" s="3" t="s">
        <v>245</v>
      </c>
      <c r="C8" s="4" t="s">
        <v>95</v>
      </c>
      <c r="D8" s="4" t="s">
        <v>246</v>
      </c>
      <c r="E8" s="4" t="s">
        <v>247</v>
      </c>
      <c r="F8" s="4" t="s">
        <v>248</v>
      </c>
      <c r="G8" s="4" t="s">
        <v>249</v>
      </c>
      <c r="H8" s="19" t="s">
        <v>234</v>
      </c>
      <c r="I8" s="6" t="s">
        <v>227</v>
      </c>
      <c r="J8" s="4" t="s">
        <v>250</v>
      </c>
    </row>
    <row r="9" customFormat="false" ht="79.85" hidden="false" customHeight="false" outlineLevel="0" collapsed="false">
      <c r="A9" s="3" t="s">
        <v>251</v>
      </c>
      <c r="B9" s="3" t="s">
        <v>252</v>
      </c>
      <c r="C9" s="4" t="s">
        <v>95</v>
      </c>
      <c r="D9" s="4" t="s">
        <v>253</v>
      </c>
      <c r="E9" s="4" t="s">
        <v>254</v>
      </c>
      <c r="F9" s="4" t="s">
        <v>255</v>
      </c>
      <c r="G9" s="4" t="s">
        <v>256</v>
      </c>
      <c r="H9" s="19" t="s">
        <v>234</v>
      </c>
      <c r="I9" s="6" t="s">
        <v>227</v>
      </c>
      <c r="J9" s="4" t="s">
        <v>257</v>
      </c>
    </row>
    <row r="10" customFormat="false" ht="23.85" hidden="false" customHeight="false" outlineLevel="0" collapsed="false">
      <c r="A10" s="3" t="s">
        <v>258</v>
      </c>
      <c r="B10" s="3" t="s">
        <v>259</v>
      </c>
      <c r="C10" s="4" t="s">
        <v>95</v>
      </c>
      <c r="D10" s="4" t="s">
        <v>260</v>
      </c>
      <c r="E10" s="4" t="s">
        <v>261</v>
      </c>
      <c r="F10" s="4" t="s">
        <v>262</v>
      </c>
      <c r="G10" s="4" t="s">
        <v>263</v>
      </c>
      <c r="H10" s="19" t="s">
        <v>264</v>
      </c>
      <c r="I10" s="11" t="s">
        <v>264</v>
      </c>
      <c r="J10" s="4" t="s">
        <v>265</v>
      </c>
    </row>
    <row r="11" customFormat="false" ht="68.65" hidden="false" customHeight="false" outlineLevel="0" collapsed="false">
      <c r="A11" s="3" t="s">
        <v>125</v>
      </c>
      <c r="B11" s="3" t="s">
        <v>266</v>
      </c>
      <c r="C11" s="4" t="s">
        <v>267</v>
      </c>
      <c r="D11" s="4" t="s">
        <v>268</v>
      </c>
      <c r="E11" s="4" t="s">
        <v>269</v>
      </c>
      <c r="F11" s="4" t="s">
        <v>270</v>
      </c>
      <c r="G11" s="4" t="s">
        <v>271</v>
      </c>
      <c r="H11" s="19" t="s">
        <v>272</v>
      </c>
      <c r="I11" s="6" t="s">
        <v>227</v>
      </c>
      <c r="J11" s="4" t="s">
        <v>273</v>
      </c>
    </row>
    <row r="12" customFormat="false" ht="57.45" hidden="false" customHeight="false" outlineLevel="0" collapsed="false">
      <c r="A12" s="3" t="s">
        <v>47</v>
      </c>
      <c r="B12" s="3" t="s">
        <v>274</v>
      </c>
      <c r="C12" s="4" t="s">
        <v>275</v>
      </c>
      <c r="D12" s="4" t="s">
        <v>276</v>
      </c>
      <c r="E12" s="4" t="s">
        <v>277</v>
      </c>
      <c r="F12" s="4" t="s">
        <v>278</v>
      </c>
      <c r="G12" s="4" t="s">
        <v>263</v>
      </c>
      <c r="H12" s="19" t="s">
        <v>234</v>
      </c>
      <c r="I12" s="6" t="s">
        <v>227</v>
      </c>
      <c r="J12" s="4" t="s">
        <v>279</v>
      </c>
    </row>
    <row r="13" customFormat="false" ht="35.05" hidden="false" customHeight="false" outlineLevel="0" collapsed="false">
      <c r="A13" s="3" t="s">
        <v>75</v>
      </c>
      <c r="B13" s="3" t="s">
        <v>280</v>
      </c>
      <c r="C13" s="4" t="s">
        <v>69</v>
      </c>
      <c r="D13" s="4" t="s">
        <v>281</v>
      </c>
      <c r="E13" s="4" t="s">
        <v>282</v>
      </c>
      <c r="F13" s="4" t="s">
        <v>283</v>
      </c>
      <c r="G13" s="4" t="s">
        <v>263</v>
      </c>
      <c r="H13" s="19" t="s">
        <v>284</v>
      </c>
      <c r="I13" s="6" t="s">
        <v>227</v>
      </c>
      <c r="J13" s="4" t="s">
        <v>285</v>
      </c>
    </row>
    <row r="14" customFormat="false" ht="124.6" hidden="false" customHeight="false" outlineLevel="0" collapsed="false">
      <c r="A14" s="3" t="s">
        <v>286</v>
      </c>
      <c r="B14" s="3" t="s">
        <v>287</v>
      </c>
      <c r="C14" s="4" t="s">
        <v>95</v>
      </c>
      <c r="D14" s="4" t="s">
        <v>288</v>
      </c>
      <c r="E14" s="4" t="s">
        <v>289</v>
      </c>
      <c r="F14" s="4" t="s">
        <v>290</v>
      </c>
      <c r="G14" s="4" t="s">
        <v>291</v>
      </c>
      <c r="H14" s="19" t="s">
        <v>292</v>
      </c>
      <c r="I14" s="6" t="s">
        <v>293</v>
      </c>
      <c r="J14" s="4" t="s">
        <v>294</v>
      </c>
    </row>
    <row r="15" customFormat="false" ht="57.45" hidden="false" customHeight="false" outlineLevel="0" collapsed="false">
      <c r="A15" s="3" t="s">
        <v>295</v>
      </c>
      <c r="B15" s="3" t="s">
        <v>296</v>
      </c>
      <c r="C15" s="4" t="s">
        <v>61</v>
      </c>
      <c r="D15" s="4" t="s">
        <v>297</v>
      </c>
      <c r="E15" s="4" t="s">
        <v>298</v>
      </c>
      <c r="F15" s="4" t="s">
        <v>299</v>
      </c>
      <c r="G15" s="4" t="s">
        <v>300</v>
      </c>
      <c r="H15" s="19" t="s">
        <v>234</v>
      </c>
      <c r="I15" s="6" t="s">
        <v>227</v>
      </c>
      <c r="J15" s="4" t="s">
        <v>301</v>
      </c>
    </row>
    <row r="16" customFormat="false" ht="46.25" hidden="false" customHeight="false" outlineLevel="0" collapsed="false">
      <c r="A16" s="3" t="s">
        <v>302</v>
      </c>
      <c r="B16" s="3" t="s">
        <v>303</v>
      </c>
      <c r="C16" s="4" t="s">
        <v>304</v>
      </c>
      <c r="D16" s="4" t="s">
        <v>305</v>
      </c>
      <c r="E16" s="4" t="s">
        <v>306</v>
      </c>
      <c r="F16" s="4" t="s">
        <v>307</v>
      </c>
      <c r="G16" s="4" t="s">
        <v>308</v>
      </c>
      <c r="H16" s="19" t="s">
        <v>264</v>
      </c>
      <c r="I16" s="11" t="s">
        <v>264</v>
      </c>
      <c r="J16" s="4" t="s">
        <v>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60"/>
    <col collapsed="false" customWidth="true" hidden="false" outlineLevel="0" max="5" min="4" style="0" width="9"/>
    <col collapsed="false" customWidth="true" hidden="false" outlineLevel="0" max="6" min="6" style="0" width="14"/>
    <col collapsed="false" customWidth="true" hidden="false" outlineLevel="0" max="7" min="7" style="0" width="9"/>
    <col collapsed="false" customWidth="true" hidden="false" outlineLevel="0" max="8" min="8" style="0" width="32"/>
    <col collapsed="false" customWidth="true" hidden="false" outlineLevel="0" max="9" min="9" style="0" width="40"/>
    <col collapsed="false" customWidth="true" hidden="false" outlineLevel="0" max="10" min="10" style="0" width="30"/>
    <col collapsed="false" customWidth="true" hidden="false" outlineLevel="0" max="11" min="11" style="0" width="40"/>
  </cols>
  <sheetData>
    <row r="1" customFormat="false" ht="17.35" hidden="false" customHeight="false" outlineLevel="0" collapsed="false">
      <c r="A1" s="1" t="s">
        <v>309</v>
      </c>
    </row>
    <row r="2" customFormat="false" ht="15" hidden="false" customHeight="false" outlineLevel="0" collapsed="false">
      <c r="A2" s="2" t="s">
        <v>310</v>
      </c>
    </row>
    <row r="4" customFormat="false" ht="35.05" hidden="false" customHeight="false" outlineLevel="0" collapsed="false">
      <c r="A4" s="5" t="s">
        <v>311</v>
      </c>
      <c r="B4" s="5" t="s">
        <v>312</v>
      </c>
      <c r="C4" s="5" t="s">
        <v>313</v>
      </c>
      <c r="D4" s="5" t="s">
        <v>19</v>
      </c>
      <c r="E4" s="5" t="s">
        <v>20</v>
      </c>
      <c r="F4" s="5" t="s">
        <v>314</v>
      </c>
      <c r="G4" s="5" t="s">
        <v>16</v>
      </c>
      <c r="H4" s="5" t="s">
        <v>315</v>
      </c>
      <c r="I4" s="5" t="s">
        <v>23</v>
      </c>
      <c r="J4" s="5" t="s">
        <v>316</v>
      </c>
      <c r="K4" s="5" t="s">
        <v>26</v>
      </c>
    </row>
    <row r="5" customFormat="false" ht="23.85" hidden="false" customHeight="false" outlineLevel="0" collapsed="false">
      <c r="A5" s="3" t="s">
        <v>317</v>
      </c>
      <c r="B5" s="4" t="s">
        <v>318</v>
      </c>
      <c r="C5" s="4" t="s">
        <v>319</v>
      </c>
      <c r="D5" s="4" t="s">
        <v>30</v>
      </c>
      <c r="E5" s="4" t="s">
        <v>31</v>
      </c>
      <c r="F5" s="4" t="s">
        <v>320</v>
      </c>
      <c r="G5" s="4" t="s">
        <v>27</v>
      </c>
      <c r="H5" s="4" t="str">
        <f aca="false">IFERROR(INDEX(Features!$B$5:$B$33,MATCH(G5,Features!$A$5:$A$33,0)),"not mapped")</f>
        <v>Describe the project by typing or with a project button</v>
      </c>
      <c r="I5" s="4" t="s">
        <v>321</v>
      </c>
      <c r="J5" s="20" t="s">
        <v>322</v>
      </c>
      <c r="K5" s="4"/>
    </row>
    <row r="6" customFormat="false" ht="23.85" hidden="false" customHeight="false" outlineLevel="0" collapsed="false">
      <c r="A6" s="3" t="s">
        <v>323</v>
      </c>
      <c r="B6" s="4" t="s">
        <v>318</v>
      </c>
      <c r="C6" s="4" t="s">
        <v>324</v>
      </c>
      <c r="D6" s="4" t="s">
        <v>30</v>
      </c>
      <c r="E6" s="4" t="s">
        <v>31</v>
      </c>
      <c r="F6" s="4" t="s">
        <v>320</v>
      </c>
      <c r="G6" s="4" t="s">
        <v>27</v>
      </c>
      <c r="H6" s="4" t="str">
        <f aca="false">IFERROR(INDEX(Features!$B$5:$B$33,MATCH(G6,Features!$A$5:$A$33,0)),"not mapped")</f>
        <v>Describe the project by typing or with a project button</v>
      </c>
      <c r="I6" s="4" t="s">
        <v>325</v>
      </c>
      <c r="J6" s="20" t="s">
        <v>322</v>
      </c>
      <c r="K6" s="19" t="s">
        <v>326</v>
      </c>
    </row>
    <row r="7" customFormat="false" ht="23.85" hidden="false" customHeight="false" outlineLevel="0" collapsed="false">
      <c r="A7" s="3" t="s">
        <v>327</v>
      </c>
      <c r="B7" s="4" t="s">
        <v>318</v>
      </c>
      <c r="C7" s="4" t="s">
        <v>328</v>
      </c>
      <c r="D7" s="4" t="s">
        <v>30</v>
      </c>
      <c r="E7" s="4" t="s">
        <v>31</v>
      </c>
      <c r="F7" s="4" t="s">
        <v>329</v>
      </c>
      <c r="G7" s="4" t="s">
        <v>42</v>
      </c>
      <c r="H7" s="4" t="str">
        <f aca="false">IFERROR(INDEX(Features!$B$5:$B$33,MATCH(G7,Features!$A$5:$A$33,0)),"not mapped")</f>
        <v>Questions and confirmed facts</v>
      </c>
      <c r="I7" s="4" t="s">
        <v>330</v>
      </c>
      <c r="J7" s="20" t="s">
        <v>322</v>
      </c>
      <c r="K7" s="19" t="s">
        <v>326</v>
      </c>
    </row>
    <row r="8" customFormat="false" ht="23.85" hidden="false" customHeight="false" outlineLevel="0" collapsed="false">
      <c r="A8" s="3" t="s">
        <v>331</v>
      </c>
      <c r="B8" s="4" t="s">
        <v>318</v>
      </c>
      <c r="C8" s="4" t="s">
        <v>332</v>
      </c>
      <c r="D8" s="4" t="s">
        <v>30</v>
      </c>
      <c r="E8" s="4" t="s">
        <v>31</v>
      </c>
      <c r="F8" s="4" t="s">
        <v>329</v>
      </c>
      <c r="G8" s="4" t="s">
        <v>42</v>
      </c>
      <c r="H8" s="4" t="str">
        <f aca="false">IFERROR(INDEX(Features!$B$5:$B$33,MATCH(G8,Features!$A$5:$A$33,0)),"not mapped")</f>
        <v>Questions and confirmed facts</v>
      </c>
      <c r="I8" s="4" t="s">
        <v>333</v>
      </c>
      <c r="J8" s="20" t="s">
        <v>322</v>
      </c>
      <c r="K8" s="4"/>
    </row>
    <row r="9" customFormat="false" ht="23.85" hidden="false" customHeight="false" outlineLevel="0" collapsed="false">
      <c r="A9" s="3" t="s">
        <v>334</v>
      </c>
      <c r="B9" s="4" t="s">
        <v>318</v>
      </c>
      <c r="C9" s="4" t="s">
        <v>335</v>
      </c>
      <c r="D9" s="4" t="s">
        <v>30</v>
      </c>
      <c r="E9" s="4" t="s">
        <v>31</v>
      </c>
      <c r="F9" s="4" t="s">
        <v>329</v>
      </c>
      <c r="G9" s="4" t="s">
        <v>49</v>
      </c>
      <c r="H9" s="4" t="str">
        <f aca="false">IFERROR(INDEX(Features!$B$5:$B$33,MATCH(G9,Features!$A$5:$A$33,0)),"not mapped")</f>
        <v>Checked shopping list</v>
      </c>
      <c r="I9" s="4" t="s">
        <v>336</v>
      </c>
      <c r="J9" s="20" t="s">
        <v>322</v>
      </c>
      <c r="K9" s="4"/>
    </row>
    <row r="10" customFormat="false" ht="15" hidden="false" customHeight="false" outlineLevel="0" collapsed="false">
      <c r="A10" s="3" t="s">
        <v>337</v>
      </c>
      <c r="B10" s="4" t="s">
        <v>318</v>
      </c>
      <c r="C10" s="4" t="s">
        <v>338</v>
      </c>
      <c r="D10" s="4" t="s">
        <v>30</v>
      </c>
      <c r="E10" s="4" t="s">
        <v>106</v>
      </c>
      <c r="F10" s="4" t="s">
        <v>329</v>
      </c>
      <c r="G10" s="4" t="s">
        <v>126</v>
      </c>
      <c r="H10" s="4" t="str">
        <f aca="false">IFERROR(INDEX(Features!$B$5:$B$33,MATCH(G10,Features!$A$5:$A$33,0)),"not mapped")</f>
        <v>Owned items on the shopping list</v>
      </c>
      <c r="I10" s="4" t="s">
        <v>339</v>
      </c>
      <c r="J10" s="20" t="s">
        <v>322</v>
      </c>
      <c r="K10" s="19" t="s">
        <v>326</v>
      </c>
    </row>
    <row r="11" customFormat="false" ht="15" hidden="false" customHeight="false" outlineLevel="0" collapsed="false">
      <c r="A11" s="3" t="s">
        <v>340</v>
      </c>
      <c r="B11" s="4" t="s">
        <v>318</v>
      </c>
      <c r="C11" s="4" t="s">
        <v>341</v>
      </c>
      <c r="D11" s="4" t="s">
        <v>30</v>
      </c>
      <c r="E11" s="4" t="s">
        <v>31</v>
      </c>
      <c r="F11" s="4" t="s">
        <v>329</v>
      </c>
      <c r="G11" s="4" t="s">
        <v>49</v>
      </c>
      <c r="H11" s="4" t="str">
        <f aca="false">IFERROR(INDEX(Features!$B$5:$B$33,MATCH(G11,Features!$A$5:$A$33,0)),"not mapped")</f>
        <v>Checked shopping list</v>
      </c>
      <c r="I11" s="4" t="s">
        <v>342</v>
      </c>
      <c r="J11" s="20" t="s">
        <v>322</v>
      </c>
      <c r="K11" s="4"/>
    </row>
    <row r="12" customFormat="false" ht="15" hidden="false" customHeight="false" outlineLevel="0" collapsed="false">
      <c r="A12" s="3" t="s">
        <v>343</v>
      </c>
      <c r="B12" s="4" t="s">
        <v>318</v>
      </c>
      <c r="C12" s="4" t="s">
        <v>344</v>
      </c>
      <c r="D12" s="4" t="s">
        <v>30</v>
      </c>
      <c r="E12" s="4" t="s">
        <v>31</v>
      </c>
      <c r="F12" s="4" t="s">
        <v>329</v>
      </c>
      <c r="G12" s="4" t="s">
        <v>49</v>
      </c>
      <c r="H12" s="4" t="str">
        <f aca="false">IFERROR(INDEX(Features!$B$5:$B$33,MATCH(G12,Features!$A$5:$A$33,0)),"not mapped")</f>
        <v>Checked shopping list</v>
      </c>
      <c r="I12" s="4" t="s">
        <v>345</v>
      </c>
      <c r="J12" s="20" t="s">
        <v>322</v>
      </c>
      <c r="K12" s="4"/>
    </row>
    <row r="13" customFormat="false" ht="23.85" hidden="false" customHeight="false" outlineLevel="0" collapsed="false">
      <c r="A13" s="3" t="s">
        <v>346</v>
      </c>
      <c r="B13" s="4" t="s">
        <v>318</v>
      </c>
      <c r="C13" s="4" t="s">
        <v>347</v>
      </c>
      <c r="D13" s="4" t="s">
        <v>30</v>
      </c>
      <c r="E13" s="4" t="s">
        <v>31</v>
      </c>
      <c r="F13" s="4" t="s">
        <v>329</v>
      </c>
      <c r="G13" s="4" t="s">
        <v>69</v>
      </c>
      <c r="H13" s="4" t="str">
        <f aca="false">IFERROR(INDEX(Features!$B$5:$B$33,MATCH(G13,Features!$A$5:$A$33,0)),"not mapped")</f>
        <v>Price, stock, aisle and shelf; referral if missing</v>
      </c>
      <c r="I13" s="4" t="s">
        <v>348</v>
      </c>
      <c r="J13" s="20" t="s">
        <v>322</v>
      </c>
      <c r="K13" s="4"/>
    </row>
    <row r="14" customFormat="false" ht="23.85" hidden="false" customHeight="false" outlineLevel="0" collapsed="false">
      <c r="A14" s="3" t="s">
        <v>349</v>
      </c>
      <c r="B14" s="4" t="s">
        <v>318</v>
      </c>
      <c r="C14" s="4" t="s">
        <v>350</v>
      </c>
      <c r="D14" s="4" t="s">
        <v>30</v>
      </c>
      <c r="E14" s="4" t="s">
        <v>31</v>
      </c>
      <c r="F14" s="4" t="s">
        <v>329</v>
      </c>
      <c r="G14" s="4" t="s">
        <v>55</v>
      </c>
      <c r="H14" s="4" t="str">
        <f aca="false">IFERROR(INDEX(Features!$B$5:$B$33,MATCH(G14,Features!$A$5:$A$33,0)),"not mapped")</f>
        <v>Safety stops and hand-off</v>
      </c>
      <c r="I14" s="4" t="s">
        <v>351</v>
      </c>
      <c r="J14" s="20" t="s">
        <v>322</v>
      </c>
      <c r="K14" s="4"/>
    </row>
    <row r="15" customFormat="false" ht="46.25" hidden="false" customHeight="false" outlineLevel="0" collapsed="false">
      <c r="A15" s="3" t="s">
        <v>352</v>
      </c>
      <c r="B15" s="4" t="s">
        <v>318</v>
      </c>
      <c r="C15" s="4" t="s">
        <v>353</v>
      </c>
      <c r="D15" s="4" t="s">
        <v>30</v>
      </c>
      <c r="E15" s="4" t="s">
        <v>31</v>
      </c>
      <c r="F15" s="4" t="s">
        <v>329</v>
      </c>
      <c r="G15" s="4" t="s">
        <v>134</v>
      </c>
      <c r="H15" s="4" t="str">
        <f aca="false">IFERROR(INDEX(Features!$B$5:$B$33,MATCH(G15,Features!$A$5:$A$33,0)),"not mapped")</f>
        <v>Save the project list</v>
      </c>
      <c r="I15" s="4" t="s">
        <v>354</v>
      </c>
      <c r="J15" s="20" t="s">
        <v>322</v>
      </c>
      <c r="K15" s="19" t="s">
        <v>326</v>
      </c>
    </row>
    <row r="16" customFormat="false" ht="23.85" hidden="false" customHeight="false" outlineLevel="0" collapsed="false">
      <c r="A16" s="3" t="s">
        <v>355</v>
      </c>
      <c r="B16" s="4" t="s">
        <v>318</v>
      </c>
      <c r="C16" s="4" t="s">
        <v>356</v>
      </c>
      <c r="D16" s="4" t="s">
        <v>30</v>
      </c>
      <c r="E16" s="4" t="s">
        <v>31</v>
      </c>
      <c r="F16" s="4" t="s">
        <v>35</v>
      </c>
      <c r="G16" s="4" t="s">
        <v>36</v>
      </c>
      <c r="H16" s="4" t="str">
        <f aca="false">IFERROR(INDEX(Features!$B$5:$B$33,MATCH(G16,Features!$A$5:$A$33,0)),"not mapped")</f>
        <v>Describe the project by speaking</v>
      </c>
      <c r="I16" s="4" t="s">
        <v>357</v>
      </c>
      <c r="J16" s="20" t="s">
        <v>322</v>
      </c>
      <c r="K16" s="4"/>
    </row>
    <row r="17" customFormat="false" ht="23.85" hidden="false" customHeight="false" outlineLevel="0" collapsed="false">
      <c r="A17" s="3" t="s">
        <v>358</v>
      </c>
      <c r="B17" s="4" t="s">
        <v>318</v>
      </c>
      <c r="C17" s="4" t="s">
        <v>359</v>
      </c>
      <c r="D17" s="4" t="s">
        <v>30</v>
      </c>
      <c r="E17" s="4" t="s">
        <v>31</v>
      </c>
      <c r="F17" s="4" t="s">
        <v>35</v>
      </c>
      <c r="G17" s="4" t="s">
        <v>36</v>
      </c>
      <c r="H17" s="4" t="str">
        <f aca="false">IFERROR(INDEX(Features!$B$5:$B$33,MATCH(G17,Features!$A$5:$A$33,0)),"not mapped")</f>
        <v>Describe the project by speaking</v>
      </c>
      <c r="I17" s="4" t="s">
        <v>360</v>
      </c>
      <c r="J17" s="20" t="s">
        <v>322</v>
      </c>
      <c r="K17" s="4"/>
    </row>
    <row r="18" customFormat="false" ht="68.65" hidden="false" customHeight="false" outlineLevel="0" collapsed="false">
      <c r="A18" s="3" t="s">
        <v>361</v>
      </c>
      <c r="B18" s="4" t="s">
        <v>318</v>
      </c>
      <c r="C18" s="4" t="s">
        <v>362</v>
      </c>
      <c r="D18" s="4" t="s">
        <v>30</v>
      </c>
      <c r="E18" s="4" t="s">
        <v>106</v>
      </c>
      <c r="F18" s="4" t="s">
        <v>35</v>
      </c>
      <c r="G18" s="4" t="s">
        <v>61</v>
      </c>
      <c r="H18" s="4" t="str">
        <f aca="false">IFERROR(INDEX(Features!$B$5:$B$33,MATCH(G18,Features!$A$5:$A$33,0)),"not mapped")</f>
        <v>Optional postcode (PLZ) and store choice</v>
      </c>
      <c r="I18" s="4" t="s">
        <v>363</v>
      </c>
      <c r="J18" s="20" t="s">
        <v>322</v>
      </c>
      <c r="K18" s="19" t="s">
        <v>326</v>
      </c>
    </row>
    <row r="19" customFormat="false" ht="57.45" hidden="false" customHeight="false" outlineLevel="0" collapsed="false">
      <c r="A19" s="3" t="s">
        <v>364</v>
      </c>
      <c r="B19" s="4" t="s">
        <v>318</v>
      </c>
      <c r="C19" s="4" t="s">
        <v>365</v>
      </c>
      <c r="D19" s="4" t="s">
        <v>30</v>
      </c>
      <c r="E19" s="4" t="s">
        <v>31</v>
      </c>
      <c r="F19" s="4" t="s">
        <v>35</v>
      </c>
      <c r="G19" s="4" t="s">
        <v>61</v>
      </c>
      <c r="H19" s="4" t="str">
        <f aca="false">IFERROR(INDEX(Features!$B$5:$B$33,MATCH(G19,Features!$A$5:$A$33,0)),"not mapped")</f>
        <v>Optional postcode (PLZ) and store choice</v>
      </c>
      <c r="I19" s="4" t="s">
        <v>366</v>
      </c>
      <c r="J19" s="20" t="s">
        <v>322</v>
      </c>
      <c r="K19" s="19" t="s">
        <v>326</v>
      </c>
    </row>
    <row r="20" customFormat="false" ht="57.45" hidden="false" customHeight="false" outlineLevel="0" collapsed="false">
      <c r="A20" s="3" t="s">
        <v>367</v>
      </c>
      <c r="B20" s="4" t="s">
        <v>318</v>
      </c>
      <c r="C20" s="4" t="s">
        <v>368</v>
      </c>
      <c r="D20" s="4" t="s">
        <v>30</v>
      </c>
      <c r="E20" s="4" t="s">
        <v>31</v>
      </c>
      <c r="F20" s="4" t="s">
        <v>35</v>
      </c>
      <c r="G20" s="4" t="s">
        <v>69</v>
      </c>
      <c r="H20" s="4" t="str">
        <f aca="false">IFERROR(INDEX(Features!$B$5:$B$33,MATCH(G20,Features!$A$5:$A$33,0)),"not mapped")</f>
        <v>Price, stock, aisle and shelf; referral if missing</v>
      </c>
      <c r="I20" s="4" t="s">
        <v>369</v>
      </c>
      <c r="J20" s="20" t="s">
        <v>322</v>
      </c>
      <c r="K20" s="4"/>
    </row>
    <row r="21" customFormat="false" ht="35.05" hidden="false" customHeight="false" outlineLevel="0" collapsed="false">
      <c r="A21" s="3" t="s">
        <v>107</v>
      </c>
      <c r="B21" s="4" t="s">
        <v>318</v>
      </c>
      <c r="C21" s="4" t="s">
        <v>370</v>
      </c>
      <c r="D21" s="4" t="s">
        <v>30</v>
      </c>
      <c r="E21" s="4" t="s">
        <v>106</v>
      </c>
      <c r="F21" s="4" t="s">
        <v>371</v>
      </c>
      <c r="G21" s="4" t="s">
        <v>103</v>
      </c>
      <c r="H21" s="4" t="str">
        <f aca="false">IFERROR(INDEX(Features!$B$5:$B$33,MATCH(G21,Features!$A$5:$A$33,0)),"not mapped")</f>
        <v>OBI how-to links</v>
      </c>
      <c r="I21" s="4" t="s">
        <v>108</v>
      </c>
      <c r="J21" s="20" t="s">
        <v>322</v>
      </c>
      <c r="K21" s="4"/>
    </row>
    <row r="22" customFormat="false" ht="35.05" hidden="false" customHeight="false" outlineLevel="0" collapsed="false">
      <c r="A22" s="3" t="s">
        <v>372</v>
      </c>
      <c r="B22" s="4" t="s">
        <v>318</v>
      </c>
      <c r="C22" s="4" t="s">
        <v>373</v>
      </c>
      <c r="D22" s="4" t="s">
        <v>30</v>
      </c>
      <c r="E22" s="4" t="s">
        <v>31</v>
      </c>
      <c r="F22" s="4" t="s">
        <v>371</v>
      </c>
      <c r="G22" s="4" t="s">
        <v>110</v>
      </c>
      <c r="H22" s="4" t="str">
        <f aca="false">IFERROR(INDEX(Features!$B$5:$B$33,MATCH(G22,Features!$A$5:$A$33,0)),"not mapped")</f>
        <v>Weight and condition check</v>
      </c>
      <c r="I22" s="4" t="s">
        <v>374</v>
      </c>
      <c r="J22" s="20" t="s">
        <v>322</v>
      </c>
      <c r="K22" s="4"/>
    </row>
    <row r="23" customFormat="false" ht="35.05" hidden="false" customHeight="false" outlineLevel="0" collapsed="false">
      <c r="A23" s="3" t="s">
        <v>375</v>
      </c>
      <c r="B23" s="4" t="s">
        <v>318</v>
      </c>
      <c r="C23" s="4" t="s">
        <v>376</v>
      </c>
      <c r="D23" s="4" t="s">
        <v>30</v>
      </c>
      <c r="E23" s="4" t="s">
        <v>106</v>
      </c>
      <c r="F23" s="4" t="s">
        <v>329</v>
      </c>
      <c r="G23" s="4" t="s">
        <v>126</v>
      </c>
      <c r="H23" s="4" t="str">
        <f aca="false">IFERROR(INDEX(Features!$B$5:$B$33,MATCH(G23,Features!$A$5:$A$33,0)),"not mapped")</f>
        <v>Owned items on the shopping list</v>
      </c>
      <c r="I23" s="4" t="s">
        <v>377</v>
      </c>
      <c r="J23" s="20" t="s">
        <v>322</v>
      </c>
      <c r="K23" s="19" t="s">
        <v>326</v>
      </c>
    </row>
    <row r="24" customFormat="false" ht="23.85" hidden="false" customHeight="false" outlineLevel="0" collapsed="false">
      <c r="A24" s="3" t="s">
        <v>378</v>
      </c>
      <c r="B24" s="4" t="s">
        <v>379</v>
      </c>
      <c r="C24" s="4" t="s">
        <v>380</v>
      </c>
      <c r="D24" s="4" t="s">
        <v>30</v>
      </c>
      <c r="E24" s="4" t="s">
        <v>31</v>
      </c>
      <c r="F24" s="4" t="s">
        <v>320</v>
      </c>
      <c r="G24" s="4" t="s">
        <v>42</v>
      </c>
      <c r="H24" s="4" t="str">
        <f aca="false">IFERROR(INDEX(Features!$B$5:$B$33,MATCH(G24,Features!$A$5:$A$33,0)),"not mapped")</f>
        <v>Questions and confirmed facts</v>
      </c>
      <c r="I24" s="4" t="s">
        <v>381</v>
      </c>
      <c r="J24" s="20" t="s">
        <v>322</v>
      </c>
      <c r="K24" s="4"/>
    </row>
    <row r="25" customFormat="false" ht="23.85" hidden="false" customHeight="false" outlineLevel="0" collapsed="false">
      <c r="A25" s="3" t="s">
        <v>382</v>
      </c>
      <c r="B25" s="4" t="s">
        <v>379</v>
      </c>
      <c r="C25" s="4" t="s">
        <v>383</v>
      </c>
      <c r="D25" s="4" t="s">
        <v>30</v>
      </c>
      <c r="E25" s="4" t="s">
        <v>31</v>
      </c>
      <c r="F25" s="4" t="s">
        <v>320</v>
      </c>
      <c r="G25" s="4" t="s">
        <v>55</v>
      </c>
      <c r="H25" s="4" t="str">
        <f aca="false">IFERROR(INDEX(Features!$B$5:$B$33,MATCH(G25,Features!$A$5:$A$33,0)),"not mapped")</f>
        <v>Safety stops and hand-off</v>
      </c>
      <c r="I25" s="4" t="s">
        <v>384</v>
      </c>
      <c r="J25" s="20" t="s">
        <v>322</v>
      </c>
      <c r="K25" s="4"/>
    </row>
    <row r="26" customFormat="false" ht="35.05" hidden="false" customHeight="false" outlineLevel="0" collapsed="false">
      <c r="A26" s="3" t="s">
        <v>385</v>
      </c>
      <c r="B26" s="4" t="s">
        <v>379</v>
      </c>
      <c r="C26" s="4" t="s">
        <v>386</v>
      </c>
      <c r="D26" s="4" t="s">
        <v>30</v>
      </c>
      <c r="E26" s="4" t="s">
        <v>31</v>
      </c>
      <c r="F26" s="4" t="s">
        <v>35</v>
      </c>
      <c r="G26" s="4" t="s">
        <v>49</v>
      </c>
      <c r="H26" s="4" t="str">
        <f aca="false">IFERROR(INDEX(Features!$B$5:$B$33,MATCH(G26,Features!$A$5:$A$33,0)),"not mapped")</f>
        <v>Checked shopping list</v>
      </c>
      <c r="I26" s="4" t="s">
        <v>387</v>
      </c>
      <c r="J26" s="20" t="s">
        <v>322</v>
      </c>
      <c r="K26" s="4"/>
    </row>
    <row r="27" customFormat="false" ht="23.85" hidden="false" customHeight="false" outlineLevel="0" collapsed="false">
      <c r="A27" s="3" t="s">
        <v>388</v>
      </c>
      <c r="B27" s="4" t="s">
        <v>379</v>
      </c>
      <c r="C27" s="4" t="s">
        <v>389</v>
      </c>
      <c r="D27" s="4" t="s">
        <v>30</v>
      </c>
      <c r="E27" s="4" t="s">
        <v>31</v>
      </c>
      <c r="F27" s="4" t="s">
        <v>35</v>
      </c>
      <c r="G27" s="4" t="s">
        <v>49</v>
      </c>
      <c r="H27" s="4" t="str">
        <f aca="false">IFERROR(INDEX(Features!$B$5:$B$33,MATCH(G27,Features!$A$5:$A$33,0)),"not mapped")</f>
        <v>Checked shopping list</v>
      </c>
      <c r="I27" s="4" t="s">
        <v>390</v>
      </c>
      <c r="J27" s="20" t="s">
        <v>322</v>
      </c>
      <c r="K27" s="4"/>
    </row>
    <row r="28" customFormat="false" ht="23.85" hidden="false" customHeight="false" outlineLevel="0" collapsed="false">
      <c r="A28" s="3" t="s">
        <v>391</v>
      </c>
      <c r="B28" s="4" t="s">
        <v>379</v>
      </c>
      <c r="C28" s="4" t="s">
        <v>392</v>
      </c>
      <c r="D28" s="4" t="s">
        <v>30</v>
      </c>
      <c r="E28" s="4" t="s">
        <v>31</v>
      </c>
      <c r="F28" s="4" t="s">
        <v>35</v>
      </c>
      <c r="G28" s="4" t="s">
        <v>55</v>
      </c>
      <c r="H28" s="4" t="str">
        <f aca="false">IFERROR(INDEX(Features!$B$5:$B$33,MATCH(G28,Features!$A$5:$A$33,0)),"not mapped")</f>
        <v>Safety stops and hand-off</v>
      </c>
      <c r="I28" s="4" t="s">
        <v>393</v>
      </c>
      <c r="J28" s="20" t="s">
        <v>322</v>
      </c>
      <c r="K28" s="4"/>
    </row>
    <row r="29" customFormat="false" ht="23.85" hidden="false" customHeight="false" outlineLevel="0" collapsed="false">
      <c r="A29" s="3" t="s">
        <v>394</v>
      </c>
      <c r="B29" s="4" t="s">
        <v>379</v>
      </c>
      <c r="C29" s="4" t="s">
        <v>395</v>
      </c>
      <c r="D29" s="4" t="s">
        <v>30</v>
      </c>
      <c r="E29" s="4" t="s">
        <v>31</v>
      </c>
      <c r="F29" s="4" t="s">
        <v>35</v>
      </c>
      <c r="G29" s="4" t="s">
        <v>42</v>
      </c>
      <c r="H29" s="4" t="str">
        <f aca="false">IFERROR(INDEX(Features!$B$5:$B$33,MATCH(G29,Features!$A$5:$A$33,0)),"not mapped")</f>
        <v>Questions and confirmed facts</v>
      </c>
      <c r="I29" s="4" t="s">
        <v>396</v>
      </c>
      <c r="J29" s="20" t="s">
        <v>322</v>
      </c>
      <c r="K29" s="4"/>
    </row>
    <row r="30" customFormat="false" ht="23.85" hidden="false" customHeight="false" outlineLevel="0" collapsed="false">
      <c r="A30" s="3" t="s">
        <v>397</v>
      </c>
      <c r="B30" s="4" t="s">
        <v>379</v>
      </c>
      <c r="C30" s="4" t="s">
        <v>398</v>
      </c>
      <c r="D30" s="4" t="s">
        <v>30</v>
      </c>
      <c r="E30" s="4" t="s">
        <v>31</v>
      </c>
      <c r="F30" s="4" t="s">
        <v>35</v>
      </c>
      <c r="G30" s="4" t="s">
        <v>49</v>
      </c>
      <c r="H30" s="4" t="str">
        <f aca="false">IFERROR(INDEX(Features!$B$5:$B$33,MATCH(G30,Features!$A$5:$A$33,0)),"not mapped")</f>
        <v>Checked shopping list</v>
      </c>
      <c r="I30" s="4" t="s">
        <v>399</v>
      </c>
      <c r="J30" s="20" t="s">
        <v>322</v>
      </c>
      <c r="K30" s="4"/>
    </row>
    <row r="31" customFormat="false" ht="23.85" hidden="false" customHeight="false" outlineLevel="0" collapsed="false">
      <c r="A31" s="3" t="s">
        <v>400</v>
      </c>
      <c r="B31" s="4" t="s">
        <v>379</v>
      </c>
      <c r="C31" s="4" t="s">
        <v>401</v>
      </c>
      <c r="D31" s="4" t="s">
        <v>30</v>
      </c>
      <c r="E31" s="4" t="s">
        <v>31</v>
      </c>
      <c r="F31" s="4" t="s">
        <v>35</v>
      </c>
      <c r="G31" s="4" t="s">
        <v>49</v>
      </c>
      <c r="H31" s="4" t="str">
        <f aca="false">IFERROR(INDEX(Features!$B$5:$B$33,MATCH(G31,Features!$A$5:$A$33,0)),"not mapped")</f>
        <v>Checked shopping list</v>
      </c>
      <c r="I31" s="4" t="s">
        <v>402</v>
      </c>
      <c r="J31" s="20" t="s">
        <v>322</v>
      </c>
      <c r="K31" s="4"/>
    </row>
    <row r="32" customFormat="false" ht="23.85" hidden="false" customHeight="false" outlineLevel="0" collapsed="false">
      <c r="A32" s="3" t="s">
        <v>403</v>
      </c>
      <c r="B32" s="4" t="s">
        <v>379</v>
      </c>
      <c r="C32" s="4" t="s">
        <v>404</v>
      </c>
      <c r="D32" s="4" t="s">
        <v>30</v>
      </c>
      <c r="E32" s="4" t="s">
        <v>31</v>
      </c>
      <c r="F32" s="4" t="s">
        <v>35</v>
      </c>
      <c r="G32" s="4" t="s">
        <v>55</v>
      </c>
      <c r="H32" s="4" t="str">
        <f aca="false">IFERROR(INDEX(Features!$B$5:$B$33,MATCH(G32,Features!$A$5:$A$33,0)),"not mapped")</f>
        <v>Safety stops and hand-off</v>
      </c>
      <c r="I32" s="4" t="s">
        <v>405</v>
      </c>
      <c r="J32" s="20" t="s">
        <v>322</v>
      </c>
      <c r="K32" s="4"/>
    </row>
    <row r="33" customFormat="false" ht="23.85" hidden="false" customHeight="false" outlineLevel="0" collapsed="false">
      <c r="A33" s="3" t="s">
        <v>406</v>
      </c>
      <c r="B33" s="4" t="s">
        <v>379</v>
      </c>
      <c r="C33" s="4" t="s">
        <v>407</v>
      </c>
      <c r="D33" s="4" t="s">
        <v>30</v>
      </c>
      <c r="E33" s="4" t="s">
        <v>106</v>
      </c>
      <c r="F33" s="4" t="s">
        <v>35</v>
      </c>
      <c r="G33" s="4" t="s">
        <v>77</v>
      </c>
      <c r="H33" s="4" t="str">
        <f aca="false">IFERROR(INDEX(Features!$B$5:$B$33,MATCH(G33,Features!$A$5:$A$33,0)),"not mapped")</f>
        <v>Sample data and team review</v>
      </c>
      <c r="I33" s="4" t="s">
        <v>408</v>
      </c>
      <c r="J33" s="20" t="s">
        <v>322</v>
      </c>
      <c r="K33" s="4"/>
    </row>
    <row r="34" customFormat="false" ht="23.85" hidden="false" customHeight="false" outlineLevel="0" collapsed="false">
      <c r="A34" s="3" t="s">
        <v>409</v>
      </c>
      <c r="B34" s="4" t="s">
        <v>379</v>
      </c>
      <c r="C34" s="4" t="s">
        <v>410</v>
      </c>
      <c r="D34" s="4" t="s">
        <v>30</v>
      </c>
      <c r="E34" s="4" t="s">
        <v>31</v>
      </c>
      <c r="F34" s="4" t="s">
        <v>35</v>
      </c>
      <c r="G34" s="4" t="s">
        <v>36</v>
      </c>
      <c r="H34" s="4" t="str">
        <f aca="false">IFERROR(INDEX(Features!$B$5:$B$33,MATCH(G34,Features!$A$5:$A$33,0)),"not mapped")</f>
        <v>Describe the project by speaking</v>
      </c>
      <c r="I34" s="4" t="s">
        <v>411</v>
      </c>
      <c r="J34" s="20" t="s">
        <v>322</v>
      </c>
      <c r="K34" s="4"/>
    </row>
    <row r="35" customFormat="false" ht="57.45" hidden="false" customHeight="false" outlineLevel="0" collapsed="false">
      <c r="A35" s="3" t="s">
        <v>412</v>
      </c>
      <c r="B35" s="4" t="s">
        <v>379</v>
      </c>
      <c r="C35" s="4" t="s">
        <v>413</v>
      </c>
      <c r="D35" s="4" t="s">
        <v>30</v>
      </c>
      <c r="E35" s="4" t="s">
        <v>31</v>
      </c>
      <c r="F35" s="4" t="s">
        <v>371</v>
      </c>
      <c r="G35" s="4" t="s">
        <v>95</v>
      </c>
      <c r="H35" s="4" t="str">
        <f aca="false">IFERROR(INDEX(Features!$B$5:$B$33,MATCH(G35,Features!$A$5:$A$33,0)),"not mapped")</f>
        <v>Project catalogue: 9 projects with limits and stop rules</v>
      </c>
      <c r="I35" s="4" t="s">
        <v>414</v>
      </c>
      <c r="J35" s="20" t="s">
        <v>322</v>
      </c>
      <c r="K35" s="19" t="s">
        <v>326</v>
      </c>
    </row>
    <row r="36" customFormat="false" ht="23.85" hidden="false" customHeight="false" outlineLevel="0" collapsed="false">
      <c r="A36" s="3" t="s">
        <v>415</v>
      </c>
      <c r="B36" s="4" t="s">
        <v>379</v>
      </c>
      <c r="C36" s="4" t="s">
        <v>416</v>
      </c>
      <c r="D36" s="4" t="s">
        <v>30</v>
      </c>
      <c r="E36" s="4" t="s">
        <v>31</v>
      </c>
      <c r="F36" s="4" t="s">
        <v>329</v>
      </c>
      <c r="G36" s="4" t="s">
        <v>110</v>
      </c>
      <c r="H36" s="4" t="str">
        <f aca="false">IFERROR(INDEX(Features!$B$5:$B$33,MATCH(G36,Features!$A$5:$A$33,0)),"not mapped")</f>
        <v>Weight and condition check</v>
      </c>
      <c r="I36" s="4" t="s">
        <v>417</v>
      </c>
      <c r="J36" s="20" t="s">
        <v>322</v>
      </c>
      <c r="K36" s="19" t="s">
        <v>326</v>
      </c>
    </row>
    <row r="37" customFormat="false" ht="46.25" hidden="false" customHeight="false" outlineLevel="0" collapsed="false">
      <c r="A37" s="3" t="s">
        <v>418</v>
      </c>
      <c r="B37" s="4" t="s">
        <v>379</v>
      </c>
      <c r="C37" s="4" t="s">
        <v>419</v>
      </c>
      <c r="D37" s="4" t="s">
        <v>30</v>
      </c>
      <c r="E37" s="4" t="s">
        <v>31</v>
      </c>
      <c r="F37" s="4" t="s">
        <v>371</v>
      </c>
      <c r="G37" s="4" t="s">
        <v>126</v>
      </c>
      <c r="H37" s="4" t="str">
        <f aca="false">IFERROR(INDEX(Features!$B$5:$B$33,MATCH(G37,Features!$A$5:$A$33,0)),"not mapped")</f>
        <v>Owned items on the shopping list</v>
      </c>
      <c r="I37" s="4" t="s">
        <v>420</v>
      </c>
      <c r="J37" s="20" t="s">
        <v>322</v>
      </c>
      <c r="K37" s="19" t="s">
        <v>326</v>
      </c>
    </row>
    <row r="38" customFormat="false" ht="23.85" hidden="false" customHeight="false" outlineLevel="0" collapsed="false">
      <c r="A38" s="3" t="s">
        <v>122</v>
      </c>
      <c r="B38" s="4" t="s">
        <v>379</v>
      </c>
      <c r="C38" s="4" t="s">
        <v>421</v>
      </c>
      <c r="D38" s="4" t="s">
        <v>30</v>
      </c>
      <c r="E38" s="4" t="s">
        <v>31</v>
      </c>
      <c r="F38" s="4" t="s">
        <v>371</v>
      </c>
      <c r="G38" s="4" t="s">
        <v>119</v>
      </c>
      <c r="H38" s="4" t="str">
        <f aca="false">IFERROR(INDEX(Features!$B$5:$B$33,MATCH(G38,Features!$A$5:$A$33,0)),"not mapped")</f>
        <v>One safety check per project</v>
      </c>
      <c r="I38" s="4" t="s">
        <v>123</v>
      </c>
      <c r="J38" s="20" t="s">
        <v>322</v>
      </c>
      <c r="K38" s="4"/>
    </row>
    <row r="39" customFormat="false" ht="23.85" hidden="false" customHeight="false" outlineLevel="0" collapsed="false">
      <c r="A39" s="3" t="s">
        <v>422</v>
      </c>
      <c r="B39" s="4" t="s">
        <v>379</v>
      </c>
      <c r="C39" s="4" t="s">
        <v>423</v>
      </c>
      <c r="D39" s="4" t="s">
        <v>30</v>
      </c>
      <c r="E39" s="4" t="s">
        <v>31</v>
      </c>
      <c r="F39" s="4" t="s">
        <v>329</v>
      </c>
      <c r="G39" s="4" t="s">
        <v>126</v>
      </c>
      <c r="H39" s="4" t="str">
        <f aca="false">IFERROR(INDEX(Features!$B$5:$B$33,MATCH(G39,Features!$A$5:$A$33,0)),"not mapped")</f>
        <v>Owned items on the shopping list</v>
      </c>
      <c r="I39" s="4" t="s">
        <v>424</v>
      </c>
      <c r="J39" s="20" t="s">
        <v>322</v>
      </c>
      <c r="K39" s="19" t="s">
        <v>326</v>
      </c>
    </row>
    <row r="40" customFormat="false" ht="23.85" hidden="false" customHeight="false" outlineLevel="0" collapsed="false">
      <c r="A40" s="3" t="s">
        <v>425</v>
      </c>
      <c r="B40" s="4" t="s">
        <v>426</v>
      </c>
      <c r="C40" s="4" t="s">
        <v>427</v>
      </c>
      <c r="D40" s="4" t="s">
        <v>30</v>
      </c>
      <c r="E40" s="4" t="s">
        <v>31</v>
      </c>
      <c r="F40" s="4" t="s">
        <v>320</v>
      </c>
      <c r="G40" s="4" t="s">
        <v>89</v>
      </c>
      <c r="H40" s="4" t="str">
        <f aca="false">IFERROR(INDEX(Features!$B$5:$B$33,MATCH(G40,Features!$A$5:$A$33,0)),"not mapped")</f>
        <v>Mobile use, speed and language</v>
      </c>
      <c r="I40" s="4" t="s">
        <v>428</v>
      </c>
      <c r="J40" s="20" t="s">
        <v>322</v>
      </c>
      <c r="K40" s="4"/>
    </row>
    <row r="41" customFormat="false" ht="35.05" hidden="false" customHeight="false" outlineLevel="0" collapsed="false">
      <c r="A41" s="3" t="s">
        <v>429</v>
      </c>
      <c r="B41" s="4" t="s">
        <v>426</v>
      </c>
      <c r="C41" s="4" t="s">
        <v>430</v>
      </c>
      <c r="D41" s="4" t="s">
        <v>30</v>
      </c>
      <c r="E41" s="4" t="s">
        <v>106</v>
      </c>
      <c r="F41" s="4" t="s">
        <v>35</v>
      </c>
      <c r="G41" s="4" t="s">
        <v>89</v>
      </c>
      <c r="H41" s="4" t="str">
        <f aca="false">IFERROR(INDEX(Features!$B$5:$B$33,MATCH(G41,Features!$A$5:$A$33,0)),"not mapped")</f>
        <v>Mobile use, speed and language</v>
      </c>
      <c r="I41" s="4" t="s">
        <v>431</v>
      </c>
      <c r="J41" s="20" t="s">
        <v>322</v>
      </c>
      <c r="K41" s="4"/>
    </row>
    <row r="42" customFormat="false" ht="23.85" hidden="false" customHeight="false" outlineLevel="0" collapsed="false">
      <c r="A42" s="3" t="s">
        <v>432</v>
      </c>
      <c r="B42" s="4" t="s">
        <v>426</v>
      </c>
      <c r="C42" s="4" t="s">
        <v>433</v>
      </c>
      <c r="D42" s="4" t="s">
        <v>30</v>
      </c>
      <c r="E42" s="4" t="s">
        <v>31</v>
      </c>
      <c r="F42" s="4" t="s">
        <v>35</v>
      </c>
      <c r="G42" s="4" t="s">
        <v>27</v>
      </c>
      <c r="H42" s="4" t="str">
        <f aca="false">IFERROR(INDEX(Features!$B$5:$B$33,MATCH(G42,Features!$A$5:$A$33,0)),"not mapped")</f>
        <v>Describe the project by typing or with a project button</v>
      </c>
      <c r="I42" s="4" t="s">
        <v>434</v>
      </c>
      <c r="J42" s="20" t="s">
        <v>322</v>
      </c>
      <c r="K42" s="4"/>
    </row>
    <row r="43" customFormat="false" ht="23.85" hidden="false" customHeight="false" outlineLevel="0" collapsed="false">
      <c r="A43" s="3" t="s">
        <v>435</v>
      </c>
      <c r="B43" s="4" t="s">
        <v>426</v>
      </c>
      <c r="C43" s="4" t="s">
        <v>436</v>
      </c>
      <c r="D43" s="4" t="s">
        <v>30</v>
      </c>
      <c r="E43" s="4" t="s">
        <v>31</v>
      </c>
      <c r="F43" s="4" t="s">
        <v>35</v>
      </c>
      <c r="G43" s="4" t="s">
        <v>83</v>
      </c>
      <c r="H43" s="4" t="str">
        <f aca="false">IFERROR(INDEX(Features!$B$5:$B$33,MATCH(G43,Features!$A$5:$A$33,0)),"not mapped")</f>
        <v>Trust, privacy and security</v>
      </c>
      <c r="I43" s="4" t="s">
        <v>437</v>
      </c>
      <c r="J43" s="20" t="s">
        <v>322</v>
      </c>
      <c r="K43" s="4"/>
    </row>
    <row r="44" customFormat="false" ht="23.85" hidden="false" customHeight="false" outlineLevel="0" collapsed="false">
      <c r="A44" s="3" t="s">
        <v>438</v>
      </c>
      <c r="B44" s="4" t="s">
        <v>426</v>
      </c>
      <c r="C44" s="4" t="s">
        <v>439</v>
      </c>
      <c r="D44" s="4" t="s">
        <v>30</v>
      </c>
      <c r="E44" s="4" t="s">
        <v>31</v>
      </c>
      <c r="F44" s="4" t="s">
        <v>35</v>
      </c>
      <c r="G44" s="4" t="s">
        <v>83</v>
      </c>
      <c r="H44" s="4" t="str">
        <f aca="false">IFERROR(INDEX(Features!$B$5:$B$33,MATCH(G44,Features!$A$5:$A$33,0)),"not mapped")</f>
        <v>Trust, privacy and security</v>
      </c>
      <c r="I44" s="4" t="s">
        <v>440</v>
      </c>
      <c r="J44" s="20" t="s">
        <v>322</v>
      </c>
      <c r="K44" s="4"/>
    </row>
    <row r="45" customFormat="false" ht="23.85" hidden="false" customHeight="false" outlineLevel="0" collapsed="false">
      <c r="A45" s="3" t="s">
        <v>441</v>
      </c>
      <c r="B45" s="4" t="s">
        <v>426</v>
      </c>
      <c r="C45" s="4" t="s">
        <v>442</v>
      </c>
      <c r="D45" s="4" t="s">
        <v>30</v>
      </c>
      <c r="E45" s="4" t="s">
        <v>106</v>
      </c>
      <c r="F45" s="4" t="s">
        <v>320</v>
      </c>
      <c r="G45" s="4" t="s">
        <v>83</v>
      </c>
      <c r="H45" s="4" t="str">
        <f aca="false">IFERROR(INDEX(Features!$B$5:$B$33,MATCH(G45,Features!$A$5:$A$33,0)),"not mapped")</f>
        <v>Trust, privacy and security</v>
      </c>
      <c r="I45" s="4" t="s">
        <v>443</v>
      </c>
      <c r="J45" s="20" t="s">
        <v>322</v>
      </c>
      <c r="K45" s="4"/>
    </row>
    <row r="46" customFormat="false" ht="23.85" hidden="false" customHeight="false" outlineLevel="0" collapsed="false">
      <c r="A46" s="3" t="s">
        <v>444</v>
      </c>
      <c r="B46" s="4" t="s">
        <v>426</v>
      </c>
      <c r="C46" s="4" t="s">
        <v>445</v>
      </c>
      <c r="D46" s="4" t="s">
        <v>30</v>
      </c>
      <c r="E46" s="4" t="s">
        <v>31</v>
      </c>
      <c r="F46" s="4" t="s">
        <v>320</v>
      </c>
      <c r="G46" s="4" t="s">
        <v>83</v>
      </c>
      <c r="H46" s="4" t="str">
        <f aca="false">IFERROR(INDEX(Features!$B$5:$B$33,MATCH(G46,Features!$A$5:$A$33,0)),"not mapped")</f>
        <v>Trust, privacy and security</v>
      </c>
      <c r="I46" s="4" t="s">
        <v>446</v>
      </c>
      <c r="J46" s="20" t="s">
        <v>322</v>
      </c>
      <c r="K46" s="4"/>
    </row>
    <row r="47" customFormat="false" ht="23.85" hidden="false" customHeight="false" outlineLevel="0" collapsed="false">
      <c r="A47" s="3" t="s">
        <v>447</v>
      </c>
      <c r="B47" s="4" t="s">
        <v>426</v>
      </c>
      <c r="C47" s="4" t="s">
        <v>448</v>
      </c>
      <c r="D47" s="4" t="s">
        <v>30</v>
      </c>
      <c r="E47" s="4" t="s">
        <v>106</v>
      </c>
      <c r="F47" s="4" t="s">
        <v>35</v>
      </c>
      <c r="G47" s="4" t="s">
        <v>89</v>
      </c>
      <c r="H47" s="4" t="str">
        <f aca="false">IFERROR(INDEX(Features!$B$5:$B$33,MATCH(G47,Features!$A$5:$A$33,0)),"not mapped")</f>
        <v>Mobile use, speed and language</v>
      </c>
      <c r="I47" s="4" t="s">
        <v>449</v>
      </c>
      <c r="J47" s="20" t="s">
        <v>322</v>
      </c>
      <c r="K47" s="4"/>
    </row>
    <row r="48" customFormat="false" ht="23.85" hidden="false" customHeight="false" outlineLevel="0" collapsed="false">
      <c r="A48" s="3" t="s">
        <v>450</v>
      </c>
      <c r="B48" s="4" t="s">
        <v>426</v>
      </c>
      <c r="C48" s="4" t="s">
        <v>451</v>
      </c>
      <c r="D48" s="4" t="s">
        <v>30</v>
      </c>
      <c r="E48" s="4" t="s">
        <v>31</v>
      </c>
      <c r="F48" s="4" t="s">
        <v>35</v>
      </c>
      <c r="G48" s="4" t="s">
        <v>77</v>
      </c>
      <c r="H48" s="4" t="str">
        <f aca="false">IFERROR(INDEX(Features!$B$5:$B$33,MATCH(G48,Features!$A$5:$A$33,0)),"not mapped")</f>
        <v>Sample data and team review</v>
      </c>
      <c r="I48" s="4" t="s">
        <v>452</v>
      </c>
      <c r="J48" s="20" t="s">
        <v>322</v>
      </c>
      <c r="K48" s="4"/>
    </row>
    <row r="49" customFormat="false" ht="35.05" hidden="false" customHeight="false" outlineLevel="0" collapsed="false">
      <c r="A49" s="3" t="s">
        <v>453</v>
      </c>
      <c r="B49" s="4" t="s">
        <v>426</v>
      </c>
      <c r="C49" s="4" t="s">
        <v>454</v>
      </c>
      <c r="D49" s="4" t="s">
        <v>30</v>
      </c>
      <c r="E49" s="4" t="s">
        <v>31</v>
      </c>
      <c r="F49" s="4" t="s">
        <v>35</v>
      </c>
      <c r="G49" s="4" t="s">
        <v>89</v>
      </c>
      <c r="H49" s="4" t="str">
        <f aca="false">IFERROR(INDEX(Features!$B$5:$B$33,MATCH(G49,Features!$A$5:$A$33,0)),"not mapped")</f>
        <v>Mobile use, speed and language</v>
      </c>
      <c r="I49" s="4" t="s">
        <v>455</v>
      </c>
      <c r="J49" s="20" t="s">
        <v>322</v>
      </c>
      <c r="K49" s="4"/>
    </row>
    <row r="50" customFormat="false" ht="79.85" hidden="false" customHeight="false" outlineLevel="0" collapsed="false">
      <c r="A50" s="3" t="s">
        <v>456</v>
      </c>
      <c r="B50" s="4" t="s">
        <v>457</v>
      </c>
      <c r="C50" s="4" t="s">
        <v>458</v>
      </c>
      <c r="D50" s="4" t="s">
        <v>30</v>
      </c>
      <c r="E50" s="4" t="s">
        <v>31</v>
      </c>
      <c r="F50" s="4" t="s">
        <v>459</v>
      </c>
      <c r="G50" s="4" t="s">
        <v>77</v>
      </c>
      <c r="H50" s="4" t="str">
        <f aca="false">IFERROR(INDEX(Features!$B$5:$B$33,MATCH(G50,Features!$A$5:$A$33,0)),"not mapped")</f>
        <v>Sample data and team review</v>
      </c>
      <c r="I50" s="4" t="s">
        <v>460</v>
      </c>
      <c r="J50" s="20" t="s">
        <v>322</v>
      </c>
      <c r="K50" s="19" t="s">
        <v>326</v>
      </c>
    </row>
    <row r="51" customFormat="false" ht="23.85" hidden="false" customHeight="false" outlineLevel="0" collapsed="false">
      <c r="A51" s="3" t="s">
        <v>461</v>
      </c>
      <c r="B51" s="4" t="s">
        <v>457</v>
      </c>
      <c r="C51" s="4" t="s">
        <v>462</v>
      </c>
      <c r="D51" s="4" t="s">
        <v>30</v>
      </c>
      <c r="E51" s="4" t="s">
        <v>31</v>
      </c>
      <c r="F51" s="4" t="s">
        <v>459</v>
      </c>
      <c r="G51" s="4" t="s">
        <v>77</v>
      </c>
      <c r="H51" s="4" t="str">
        <f aca="false">IFERROR(INDEX(Features!$B$5:$B$33,MATCH(G51,Features!$A$5:$A$33,0)),"not mapped")</f>
        <v>Sample data and team review</v>
      </c>
      <c r="I51" s="4" t="s">
        <v>463</v>
      </c>
      <c r="J51" s="20" t="s">
        <v>322</v>
      </c>
      <c r="K51" s="4"/>
    </row>
    <row r="52" customFormat="false" ht="23.85" hidden="false" customHeight="false" outlineLevel="0" collapsed="false">
      <c r="A52" s="3" t="s">
        <v>464</v>
      </c>
      <c r="B52" s="4" t="s">
        <v>457</v>
      </c>
      <c r="C52" s="4" t="s">
        <v>465</v>
      </c>
      <c r="D52" s="4" t="s">
        <v>30</v>
      </c>
      <c r="E52" s="4" t="s">
        <v>31</v>
      </c>
      <c r="F52" s="4" t="s">
        <v>459</v>
      </c>
      <c r="G52" s="4" t="s">
        <v>77</v>
      </c>
      <c r="H52" s="4" t="str">
        <f aca="false">IFERROR(INDEX(Features!$B$5:$B$33,MATCH(G52,Features!$A$5:$A$33,0)),"not mapped")</f>
        <v>Sample data and team review</v>
      </c>
      <c r="I52" s="4" t="s">
        <v>466</v>
      </c>
      <c r="J52" s="20" t="s">
        <v>322</v>
      </c>
      <c r="K52" s="4"/>
    </row>
    <row r="53" customFormat="false" ht="23.85" hidden="false" customHeight="false" outlineLevel="0" collapsed="false">
      <c r="A53" s="3" t="s">
        <v>467</v>
      </c>
      <c r="B53" s="4" t="s">
        <v>457</v>
      </c>
      <c r="C53" s="4" t="s">
        <v>468</v>
      </c>
      <c r="D53" s="4" t="s">
        <v>30</v>
      </c>
      <c r="E53" s="4" t="s">
        <v>31</v>
      </c>
      <c r="F53" s="4" t="s">
        <v>371</v>
      </c>
      <c r="G53" s="4" t="s">
        <v>95</v>
      </c>
      <c r="H53" s="4" t="str">
        <f aca="false">IFERROR(INDEX(Features!$B$5:$B$33,MATCH(G53,Features!$A$5:$A$33,0)),"not mapped")</f>
        <v>Project catalogue: 9 projects with limits and stop rules</v>
      </c>
      <c r="I53" s="4" t="s">
        <v>469</v>
      </c>
      <c r="J53" s="20" t="s">
        <v>322</v>
      </c>
      <c r="K53" s="4"/>
    </row>
    <row r="54" customFormat="false" ht="23.85" hidden="false" customHeight="false" outlineLevel="0" collapsed="false">
      <c r="A54" s="3" t="s">
        <v>470</v>
      </c>
      <c r="B54" s="4" t="s">
        <v>457</v>
      </c>
      <c r="C54" s="4" t="s">
        <v>471</v>
      </c>
      <c r="D54" s="4" t="s">
        <v>30</v>
      </c>
      <c r="E54" s="4" t="s">
        <v>31</v>
      </c>
      <c r="F54" s="4" t="s">
        <v>35</v>
      </c>
      <c r="G54" s="4" t="s">
        <v>83</v>
      </c>
      <c r="H54" s="4" t="str">
        <f aca="false">IFERROR(INDEX(Features!$B$5:$B$33,MATCH(G54,Features!$A$5:$A$33,0)),"not mapped")</f>
        <v>Trust, privacy and security</v>
      </c>
      <c r="I54" s="4" t="s">
        <v>472</v>
      </c>
      <c r="J54" s="20" t="s">
        <v>322</v>
      </c>
      <c r="K54" s="4"/>
    </row>
    <row r="55" customFormat="false" ht="35.05" hidden="false" customHeight="false" outlineLevel="0" collapsed="false">
      <c r="A55" s="3" t="s">
        <v>473</v>
      </c>
      <c r="B55" s="4" t="s">
        <v>457</v>
      </c>
      <c r="C55" s="4" t="s">
        <v>474</v>
      </c>
      <c r="D55" s="4" t="s">
        <v>30</v>
      </c>
      <c r="E55" s="4" t="s">
        <v>31</v>
      </c>
      <c r="F55" s="4" t="s">
        <v>329</v>
      </c>
      <c r="G55" s="4" t="s">
        <v>134</v>
      </c>
      <c r="H55" s="4" t="str">
        <f aca="false">IFERROR(INDEX(Features!$B$5:$B$33,MATCH(G55,Features!$A$5:$A$33,0)),"not mapped")</f>
        <v>Save the project list</v>
      </c>
      <c r="I55" s="4" t="s">
        <v>139</v>
      </c>
      <c r="J55" s="20" t="s">
        <v>322</v>
      </c>
      <c r="K55" s="19" t="s">
        <v>326</v>
      </c>
    </row>
    <row r="56" customFormat="false" ht="23.85" hidden="false" customHeight="false" outlineLevel="0" collapsed="false">
      <c r="A56" s="3" t="s">
        <v>475</v>
      </c>
      <c r="B56" s="4" t="s">
        <v>457</v>
      </c>
      <c r="C56" s="4" t="s">
        <v>476</v>
      </c>
      <c r="D56" s="4" t="s">
        <v>30</v>
      </c>
      <c r="E56" s="4" t="s">
        <v>106</v>
      </c>
      <c r="F56" s="4" t="s">
        <v>35</v>
      </c>
      <c r="G56" s="4" t="s">
        <v>77</v>
      </c>
      <c r="H56" s="4" t="str">
        <f aca="false">IFERROR(INDEX(Features!$B$5:$B$33,MATCH(G56,Features!$A$5:$A$33,0)),"not mapped")</f>
        <v>Sample data and team review</v>
      </c>
      <c r="I56" s="4" t="s">
        <v>477</v>
      </c>
      <c r="J56" s="20" t="s">
        <v>322</v>
      </c>
      <c r="K56" s="4"/>
    </row>
    <row r="57" customFormat="false" ht="35.05" hidden="false" customHeight="false" outlineLevel="0" collapsed="false">
      <c r="A57" s="3" t="s">
        <v>478</v>
      </c>
      <c r="B57" s="4" t="s">
        <v>457</v>
      </c>
      <c r="C57" s="4" t="s">
        <v>479</v>
      </c>
      <c r="D57" s="4" t="s">
        <v>30</v>
      </c>
      <c r="E57" s="4" t="s">
        <v>31</v>
      </c>
      <c r="F57" s="4" t="s">
        <v>35</v>
      </c>
      <c r="G57" s="4" t="s">
        <v>61</v>
      </c>
      <c r="H57" s="4" t="str">
        <f aca="false">IFERROR(INDEX(Features!$B$5:$B$33,MATCH(G57,Features!$A$5:$A$33,0)),"not mapped")</f>
        <v>Optional postcode (PLZ) and store choice</v>
      </c>
      <c r="I57" s="4" t="s">
        <v>480</v>
      </c>
      <c r="J57" s="20" t="s">
        <v>322</v>
      </c>
      <c r="K57" s="4"/>
    </row>
    <row r="58" customFormat="false" ht="15" hidden="false" customHeight="false" outlineLevel="0" collapsed="false">
      <c r="A58" s="3" t="s">
        <v>147</v>
      </c>
      <c r="B58" s="4" t="s">
        <v>318</v>
      </c>
      <c r="C58" s="4" t="s">
        <v>481</v>
      </c>
      <c r="D58" s="4" t="s">
        <v>145</v>
      </c>
      <c r="E58" s="4" t="s">
        <v>31</v>
      </c>
      <c r="F58" s="4" t="s">
        <v>35</v>
      </c>
      <c r="G58" s="4" t="s">
        <v>142</v>
      </c>
      <c r="H58" s="4" t="str">
        <f aca="false">IFERROR(INDEX(Features!$B$5:$B$33,MATCH(G58,Features!$A$5:$A$33,0)),"not mapped")</f>
        <v>Explanations</v>
      </c>
      <c r="I58" s="4" t="s">
        <v>35</v>
      </c>
      <c r="J58" s="20" t="s">
        <v>482</v>
      </c>
      <c r="K58" s="4"/>
    </row>
    <row r="59" customFormat="false" ht="15" hidden="false" customHeight="false" outlineLevel="0" collapsed="false">
      <c r="A59" s="3" t="s">
        <v>152</v>
      </c>
      <c r="B59" s="4" t="s">
        <v>318</v>
      </c>
      <c r="C59" s="4" t="s">
        <v>483</v>
      </c>
      <c r="D59" s="4" t="s">
        <v>145</v>
      </c>
      <c r="E59" s="4" t="s">
        <v>106</v>
      </c>
      <c r="F59" s="4" t="s">
        <v>35</v>
      </c>
      <c r="G59" s="4" t="s">
        <v>149</v>
      </c>
      <c r="H59" s="4" t="str">
        <f aca="false">IFERROR(INDEX(Features!$B$5:$B$33,MATCH(G59,Features!$A$5:$A$33,0)),"not mapped")</f>
        <v>Cheaper or better alternatives</v>
      </c>
      <c r="I59" s="4" t="s">
        <v>35</v>
      </c>
      <c r="J59" s="20" t="s">
        <v>482</v>
      </c>
      <c r="K59" s="4"/>
    </row>
    <row r="60" customFormat="false" ht="15" hidden="false" customHeight="false" outlineLevel="0" collapsed="false">
      <c r="A60" s="3" t="s">
        <v>157</v>
      </c>
      <c r="B60" s="4" t="s">
        <v>318</v>
      </c>
      <c r="C60" s="4" t="s">
        <v>484</v>
      </c>
      <c r="D60" s="4" t="s">
        <v>145</v>
      </c>
      <c r="E60" s="4" t="s">
        <v>106</v>
      </c>
      <c r="F60" s="4" t="s">
        <v>35</v>
      </c>
      <c r="G60" s="4" t="s">
        <v>154</v>
      </c>
      <c r="H60" s="4" t="str">
        <f aca="false">IFERROR(INDEX(Features!$B$5:$B$33,MATCH(G60,Features!$A$5:$A$33,0)),"not mapped")</f>
        <v>Offline checklist</v>
      </c>
      <c r="I60" s="4" t="s">
        <v>35</v>
      </c>
      <c r="J60" s="20" t="s">
        <v>482</v>
      </c>
      <c r="K60" s="19" t="s">
        <v>326</v>
      </c>
    </row>
    <row r="61" customFormat="false" ht="15" hidden="false" customHeight="false" outlineLevel="0" collapsed="false">
      <c r="A61" s="3" t="s">
        <v>162</v>
      </c>
      <c r="B61" s="4" t="s">
        <v>318</v>
      </c>
      <c r="C61" s="4" t="s">
        <v>485</v>
      </c>
      <c r="D61" s="4" t="s">
        <v>145</v>
      </c>
      <c r="E61" s="4" t="s">
        <v>106</v>
      </c>
      <c r="F61" s="4" t="s">
        <v>35</v>
      </c>
      <c r="G61" s="4" t="s">
        <v>159</v>
      </c>
      <c r="H61" s="4" t="str">
        <f aca="false">IFERROR(INDEX(Features!$B$5:$B$33,MATCH(G61,Features!$A$5:$A$33,0)),"not mapped")</f>
        <v>Step-by-step assembly guide</v>
      </c>
      <c r="I61" s="4" t="s">
        <v>35</v>
      </c>
      <c r="J61" s="20" t="s">
        <v>482</v>
      </c>
      <c r="K61" s="4"/>
    </row>
    <row r="62" customFormat="false" ht="23.85" hidden="false" customHeight="false" outlineLevel="0" collapsed="false">
      <c r="A62" s="3" t="s">
        <v>167</v>
      </c>
      <c r="B62" s="4" t="s">
        <v>426</v>
      </c>
      <c r="C62" s="4" t="s">
        <v>486</v>
      </c>
      <c r="D62" s="4" t="s">
        <v>145</v>
      </c>
      <c r="E62" s="4" t="s">
        <v>106</v>
      </c>
      <c r="F62" s="4" t="s">
        <v>35</v>
      </c>
      <c r="G62" s="4" t="s">
        <v>164</v>
      </c>
      <c r="H62" s="4" t="str">
        <f aca="false">IFERROR(INDEX(Features!$B$5:$B$33,MATCH(G62,Features!$A$5:$A$33,0)),"not mapped")</f>
        <v>Accessibility</v>
      </c>
      <c r="I62" s="4" t="s">
        <v>35</v>
      </c>
      <c r="J62" s="20" t="s">
        <v>482</v>
      </c>
      <c r="K62" s="4"/>
    </row>
    <row r="63" customFormat="false" ht="15" hidden="false" customHeight="false" outlineLevel="0" collapsed="false">
      <c r="A63" s="3" t="s">
        <v>172</v>
      </c>
      <c r="B63" s="4" t="s">
        <v>318</v>
      </c>
      <c r="C63" s="4" t="s">
        <v>487</v>
      </c>
      <c r="D63" s="4" t="s">
        <v>171</v>
      </c>
      <c r="E63" s="4" t="s">
        <v>106</v>
      </c>
      <c r="F63" s="4" t="s">
        <v>459</v>
      </c>
      <c r="G63" s="4" t="s">
        <v>168</v>
      </c>
      <c r="H63" s="4" t="str">
        <f aca="false">IFERROR(INDEX(Features!$B$5:$B$33,MATCH(G63,Features!$A$5:$A$33,0)),"not mapped")</f>
        <v>Save and resume a project</v>
      </c>
      <c r="I63" s="4" t="s">
        <v>35</v>
      </c>
      <c r="J63" s="20" t="s">
        <v>482</v>
      </c>
      <c r="K63" s="4"/>
    </row>
    <row r="64" customFormat="false" ht="15" hidden="false" customHeight="false" outlineLevel="0" collapsed="false">
      <c r="A64" s="3" t="s">
        <v>488</v>
      </c>
      <c r="B64" s="4" t="s">
        <v>318</v>
      </c>
      <c r="C64" s="4" t="s">
        <v>489</v>
      </c>
      <c r="D64" s="4" t="s">
        <v>171</v>
      </c>
      <c r="E64" s="4" t="s">
        <v>106</v>
      </c>
      <c r="F64" s="4" t="s">
        <v>35</v>
      </c>
      <c r="G64" s="4" t="s">
        <v>178</v>
      </c>
      <c r="H64" s="4" t="str">
        <f aca="false">IFERROR(INDEX(Features!$B$5:$B$33,MATCH(G64,Features!$A$5:$A$33,0)),"not mapped")</f>
        <v>Store search and hand-off to staff</v>
      </c>
      <c r="I64" s="4" t="s">
        <v>35</v>
      </c>
      <c r="J64" s="20" t="s">
        <v>482</v>
      </c>
      <c r="K64" s="4"/>
    </row>
    <row r="65" customFormat="false" ht="15" hidden="false" customHeight="false" outlineLevel="0" collapsed="false">
      <c r="A65" s="3" t="s">
        <v>186</v>
      </c>
      <c r="B65" s="4" t="s">
        <v>318</v>
      </c>
      <c r="C65" s="4" t="s">
        <v>490</v>
      </c>
      <c r="D65" s="4" t="s">
        <v>171</v>
      </c>
      <c r="E65" s="4" t="s">
        <v>106</v>
      </c>
      <c r="F65" s="4" t="s">
        <v>35</v>
      </c>
      <c r="G65" s="4" t="s">
        <v>183</v>
      </c>
      <c r="H65" s="4" t="str">
        <f aca="false">IFERROR(INDEX(Features!$B$5:$B$33,MATCH(G65,Features!$A$5:$A$33,0)),"not mapped")</f>
        <v>Verified aisle locations</v>
      </c>
      <c r="I65" s="4" t="s">
        <v>35</v>
      </c>
      <c r="J65" s="20" t="s">
        <v>482</v>
      </c>
      <c r="K65" s="4"/>
    </row>
    <row r="66" customFormat="false" ht="15" hidden="false" customHeight="false" outlineLevel="0" collapsed="false">
      <c r="A66" s="3" t="s">
        <v>491</v>
      </c>
      <c r="B66" s="4" t="s">
        <v>318</v>
      </c>
      <c r="C66" s="4" t="s">
        <v>492</v>
      </c>
      <c r="D66" s="4" t="s">
        <v>171</v>
      </c>
      <c r="E66" s="4" t="s">
        <v>190</v>
      </c>
      <c r="F66" s="4" t="s">
        <v>35</v>
      </c>
      <c r="G66" s="4" t="s">
        <v>187</v>
      </c>
      <c r="H66" s="4" t="str">
        <f aca="false">IFERROR(INDEX(Features!$B$5:$B$33,MATCH(G66,Features!$A$5:$A$33,0)),"not mapped")</f>
        <v>Scan products and track assembly</v>
      </c>
      <c r="I66" s="4" t="s">
        <v>35</v>
      </c>
      <c r="J66" s="20" t="s">
        <v>482</v>
      </c>
      <c r="K66" s="4"/>
    </row>
    <row r="67" customFormat="false" ht="15" hidden="false" customHeight="false" outlineLevel="0" collapsed="false">
      <c r="A67" s="3" t="s">
        <v>493</v>
      </c>
      <c r="B67" s="4" t="s">
        <v>318</v>
      </c>
      <c r="C67" s="4" t="s">
        <v>494</v>
      </c>
      <c r="D67" s="4" t="s">
        <v>171</v>
      </c>
      <c r="E67" s="4" t="s">
        <v>190</v>
      </c>
      <c r="F67" s="4" t="s">
        <v>35</v>
      </c>
      <c r="G67" s="4" t="s">
        <v>187</v>
      </c>
      <c r="H67" s="4" t="str">
        <f aca="false">IFERROR(INDEX(Features!$B$5:$B$33,MATCH(G67,Features!$A$5:$A$33,0)),"not mapped")</f>
        <v>Scan products and track assembly</v>
      </c>
      <c r="I67" s="4" t="s">
        <v>35</v>
      </c>
      <c r="J67" s="20" t="s">
        <v>482</v>
      </c>
      <c r="K67" s="4"/>
    </row>
    <row r="68" customFormat="false" ht="15" hidden="false" customHeight="false" outlineLevel="0" collapsed="false">
      <c r="A68" s="3" t="s">
        <v>495</v>
      </c>
      <c r="B68" s="4" t="s">
        <v>318</v>
      </c>
      <c r="C68" s="4" t="s">
        <v>496</v>
      </c>
      <c r="D68" s="4" t="s">
        <v>171</v>
      </c>
      <c r="E68" s="4" t="s">
        <v>106</v>
      </c>
      <c r="F68" s="4" t="s">
        <v>35</v>
      </c>
      <c r="G68" s="4" t="s">
        <v>178</v>
      </c>
      <c r="H68" s="4" t="str">
        <f aca="false">IFERROR(INDEX(Features!$B$5:$B$33,MATCH(G68,Features!$A$5:$A$33,0)),"not mapped")</f>
        <v>Store search and hand-off to staff</v>
      </c>
      <c r="I68" s="4" t="s">
        <v>35</v>
      </c>
      <c r="J68" s="20" t="s">
        <v>482</v>
      </c>
      <c r="K68" s="4"/>
    </row>
    <row r="69" customFormat="false" ht="15" hidden="false" customHeight="false" outlineLevel="0" collapsed="false">
      <c r="A69" s="3" t="s">
        <v>196</v>
      </c>
      <c r="B69" s="4" t="s">
        <v>318</v>
      </c>
      <c r="C69" s="4" t="s">
        <v>497</v>
      </c>
      <c r="D69" s="4" t="s">
        <v>171</v>
      </c>
      <c r="E69" s="4" t="s">
        <v>190</v>
      </c>
      <c r="F69" s="4" t="s">
        <v>35</v>
      </c>
      <c r="G69" s="4" t="s">
        <v>193</v>
      </c>
      <c r="H69" s="4" t="str">
        <f aca="false">IFERROR(INDEX(Features!$B$5:$B$33,MATCH(G69,Features!$A$5:$A$33,0)),"not mapped")</f>
        <v>Room visualisation</v>
      </c>
      <c r="I69" s="4" t="s">
        <v>35</v>
      </c>
      <c r="J69" s="20" t="s">
        <v>482</v>
      </c>
      <c r="K69" s="4"/>
    </row>
    <row r="70" customFormat="false" ht="35.05" hidden="false" customHeight="false" outlineLevel="0" collapsed="false">
      <c r="A70" s="3" t="s">
        <v>498</v>
      </c>
      <c r="B70" s="4" t="s">
        <v>318</v>
      </c>
      <c r="C70" s="4" t="s">
        <v>499</v>
      </c>
      <c r="D70" s="4" t="s">
        <v>171</v>
      </c>
      <c r="E70" s="4" t="s">
        <v>31</v>
      </c>
      <c r="F70" s="4" t="s">
        <v>35</v>
      </c>
      <c r="G70" s="4" t="s">
        <v>173</v>
      </c>
      <c r="H70" s="4" t="str">
        <f aca="false">IFERROR(INDEX(Features!$B$5:$B$33,MATCH(G70,Features!$A$5:$A$33,0)),"not mapped")</f>
        <v>Describe the project with a photo</v>
      </c>
      <c r="I70" s="4" t="s">
        <v>35</v>
      </c>
      <c r="J70" s="20" t="s">
        <v>482</v>
      </c>
      <c r="K70" s="4"/>
    </row>
    <row r="71" customFormat="false" ht="23.85" hidden="false" customHeight="false" outlineLevel="0" collapsed="false">
      <c r="A71" s="3" t="s">
        <v>500</v>
      </c>
      <c r="B71" s="4" t="s">
        <v>318</v>
      </c>
      <c r="C71" s="4" t="s">
        <v>501</v>
      </c>
      <c r="D71" s="4" t="s">
        <v>171</v>
      </c>
      <c r="E71" s="4" t="s">
        <v>106</v>
      </c>
      <c r="F71" s="4" t="s">
        <v>35</v>
      </c>
      <c r="G71" s="4" t="s">
        <v>173</v>
      </c>
      <c r="H71" s="4" t="str">
        <f aca="false">IFERROR(INDEX(Features!$B$5:$B$33,MATCH(G71,Features!$A$5:$A$33,0)),"not mapped")</f>
        <v>Describe the project with a photo</v>
      </c>
      <c r="I71" s="4" t="s">
        <v>35</v>
      </c>
      <c r="J71" s="20" t="s">
        <v>482</v>
      </c>
      <c r="K71" s="4"/>
    </row>
    <row r="72" customFormat="false" ht="23.85" hidden="false" customHeight="false" outlineLevel="0" collapsed="false">
      <c r="A72" s="3" t="s">
        <v>502</v>
      </c>
      <c r="B72" s="4" t="s">
        <v>379</v>
      </c>
      <c r="C72" s="4" t="s">
        <v>503</v>
      </c>
      <c r="D72" s="4" t="s">
        <v>171</v>
      </c>
      <c r="E72" s="4" t="s">
        <v>106</v>
      </c>
      <c r="F72" s="4" t="s">
        <v>35</v>
      </c>
      <c r="G72" s="4" t="s">
        <v>173</v>
      </c>
      <c r="H72" s="4" t="str">
        <f aca="false">IFERROR(INDEX(Features!$B$5:$B$33,MATCH(G72,Features!$A$5:$A$33,0)),"not mapped")</f>
        <v>Describe the project with a photo</v>
      </c>
      <c r="I72" s="4" t="s">
        <v>35</v>
      </c>
      <c r="J72" s="20" t="s">
        <v>482</v>
      </c>
      <c r="K72" s="4"/>
    </row>
    <row r="73" customFormat="false" ht="23.85" hidden="false" customHeight="false" outlineLevel="0" collapsed="false">
      <c r="A73" s="3" t="s">
        <v>200</v>
      </c>
      <c r="B73" s="4" t="s">
        <v>426</v>
      </c>
      <c r="C73" s="4" t="s">
        <v>504</v>
      </c>
      <c r="D73" s="4" t="s">
        <v>171</v>
      </c>
      <c r="E73" s="4" t="s">
        <v>106</v>
      </c>
      <c r="F73" s="4" t="s">
        <v>35</v>
      </c>
      <c r="G73" s="4" t="s">
        <v>197</v>
      </c>
      <c r="H73" s="4" t="str">
        <f aca="false">IFERROR(INDEX(Features!$B$5:$B$33,MATCH(G73,Features!$A$5:$A$33,0)),"not mapped")</f>
        <v>Monitoring</v>
      </c>
      <c r="I73" s="4" t="s">
        <v>35</v>
      </c>
      <c r="J73" s="20" t="s">
        <v>482</v>
      </c>
      <c r="K73" s="4"/>
    </row>
    <row r="74" customFormat="false" ht="15" hidden="false" customHeight="false" outlineLevel="0" collapsed="false">
      <c r="A74" s="3" t="s">
        <v>505</v>
      </c>
      <c r="B74" s="4" t="s">
        <v>318</v>
      </c>
      <c r="C74" s="4" t="s">
        <v>506</v>
      </c>
      <c r="D74" s="4" t="s">
        <v>204</v>
      </c>
      <c r="E74" s="4" t="s">
        <v>205</v>
      </c>
      <c r="F74" s="4" t="s">
        <v>35</v>
      </c>
      <c r="G74" s="4" t="s">
        <v>201</v>
      </c>
      <c r="H74" s="4" t="str">
        <f aca="false">IFERROR(INDEX(Features!$B$5:$B$33,MATCH(G74,Features!$A$5:$A$33,0)),"not mapped")</f>
        <v>Reservation and cross-retailer baskets</v>
      </c>
      <c r="I74" s="4" t="s">
        <v>35</v>
      </c>
      <c r="J74" s="20" t="s">
        <v>482</v>
      </c>
      <c r="K74" s="4"/>
    </row>
    <row r="75" customFormat="false" ht="15" hidden="false" customHeight="false" outlineLevel="0" collapsed="false">
      <c r="A75" s="3" t="s">
        <v>507</v>
      </c>
      <c r="B75" s="4" t="s">
        <v>318</v>
      </c>
      <c r="C75" s="4" t="s">
        <v>508</v>
      </c>
      <c r="D75" s="4" t="s">
        <v>204</v>
      </c>
      <c r="E75" s="4" t="s">
        <v>205</v>
      </c>
      <c r="F75" s="4" t="s">
        <v>35</v>
      </c>
      <c r="G75" s="4" t="s">
        <v>201</v>
      </c>
      <c r="H75" s="4" t="str">
        <f aca="false">IFERROR(INDEX(Features!$B$5:$B$33,MATCH(G75,Features!$A$5:$A$33,0)),"not mapped")</f>
        <v>Reservation and cross-retailer baskets</v>
      </c>
      <c r="I75" s="4" t="s">
        <v>35</v>
      </c>
      <c r="J75" s="20" t="s">
        <v>482</v>
      </c>
      <c r="K75" s="4"/>
    </row>
    <row r="77" customFormat="false" ht="15" hidden="false" customHeight="false" outlineLevel="0" collapsed="false">
      <c r="A77" s="17" t="s">
        <v>509</v>
      </c>
    </row>
    <row r="78" customFormat="false" ht="15" hidden="false" customHeight="false" outlineLevel="0" collapsed="false">
      <c r="A78" s="18" t="s">
        <v>22</v>
      </c>
      <c r="C78" s="18" t="n">
        <f aca="false">COUNTA(A5:A75)</f>
        <v>71</v>
      </c>
    </row>
    <row r="79" customFormat="false" ht="15" hidden="false" customHeight="false" outlineLevel="0" collapsed="false">
      <c r="A79" s="18" t="s">
        <v>510</v>
      </c>
      <c r="C79" s="18" t="n">
        <f aca="false">COUNTIF(H5:H75,"not mapped")</f>
        <v>0</v>
      </c>
    </row>
    <row r="80" customFormat="false" ht="15" hidden="false" customHeight="false" outlineLevel="0" collapsed="false">
      <c r="A80" s="18" t="s">
        <v>511</v>
      </c>
      <c r="C80" s="18" t="n">
        <f aca="false">COUNTIF(D5:D75,"R1")</f>
        <v>53</v>
      </c>
    </row>
    <row r="81" customFormat="false" ht="15" hidden="false" customHeight="false" outlineLevel="0" collapsed="false">
      <c r="A81" s="18" t="s">
        <v>512</v>
      </c>
      <c r="C81" s="18" t="n">
        <f aca="false">COUNTIFS(D5:D75,"R1",I5:I75,"–")</f>
        <v>0</v>
      </c>
    </row>
  </sheetData>
  <autoFilter ref="A4:K75"/>
  <hyperlinks>
    <hyperlink ref="J5" r:id="rId1" display="requirements-R1-MVP_2026-10-27.md"/>
    <hyperlink ref="J6" r:id="rId2" display="requirements-R1-MVP_2026-10-27.md"/>
    <hyperlink ref="J7" r:id="rId3" display="requirements-R1-MVP_2026-10-27.md"/>
    <hyperlink ref="J8" r:id="rId4" display="requirements-R1-MVP_2026-10-27.md"/>
    <hyperlink ref="J9" r:id="rId5" display="requirements-R1-MVP_2026-10-27.md"/>
    <hyperlink ref="J10" r:id="rId6" display="requirements-R1-MVP_2026-10-27.md"/>
    <hyperlink ref="J11" r:id="rId7" display="requirements-R1-MVP_2026-10-27.md"/>
    <hyperlink ref="J12" r:id="rId8" display="requirements-R1-MVP_2026-10-27.md"/>
    <hyperlink ref="J13" r:id="rId9" display="requirements-R1-MVP_2026-10-27.md"/>
    <hyperlink ref="J14" r:id="rId10" display="requirements-R1-MVP_2026-10-27.md"/>
    <hyperlink ref="J15" r:id="rId11" display="requirements-R1-MVP_2026-10-27.md"/>
    <hyperlink ref="J16" r:id="rId12" display="requirements-R1-MVP_2026-10-27.md"/>
    <hyperlink ref="J17" r:id="rId13" display="requirements-R1-MVP_2026-10-27.md"/>
    <hyperlink ref="J18" r:id="rId14" display="requirements-R1-MVP_2026-10-27.md"/>
    <hyperlink ref="J19" r:id="rId15" display="requirements-R1-MVP_2026-10-27.md"/>
    <hyperlink ref="J20" r:id="rId16" display="requirements-R1-MVP_2026-10-27.md"/>
    <hyperlink ref="J21" r:id="rId17" display="requirements-R1-MVP_2026-10-27.md"/>
    <hyperlink ref="J22" r:id="rId18" display="requirements-R1-MVP_2026-10-27.md"/>
    <hyperlink ref="J23" r:id="rId19" display="requirements-R1-MVP_2026-10-27.md"/>
    <hyperlink ref="J24" r:id="rId20" display="requirements-R1-MVP_2026-10-27.md"/>
    <hyperlink ref="J25" r:id="rId21" display="requirements-R1-MVP_2026-10-27.md"/>
    <hyperlink ref="J26" r:id="rId22" display="requirements-R1-MVP_2026-10-27.md"/>
    <hyperlink ref="J27" r:id="rId23" display="requirements-R1-MVP_2026-10-27.md"/>
    <hyperlink ref="J28" r:id="rId24" display="requirements-R1-MVP_2026-10-27.md"/>
    <hyperlink ref="J29" r:id="rId25" display="requirements-R1-MVP_2026-10-27.md"/>
    <hyperlink ref="J30" r:id="rId26" display="requirements-R1-MVP_2026-10-27.md"/>
    <hyperlink ref="J31" r:id="rId27" display="requirements-R1-MVP_2026-10-27.md"/>
    <hyperlink ref="J32" r:id="rId28" display="requirements-R1-MVP_2026-10-27.md"/>
    <hyperlink ref="J33" r:id="rId29" display="requirements-R1-MVP_2026-10-27.md"/>
    <hyperlink ref="J34" r:id="rId30" display="requirements-R1-MVP_2026-10-27.md"/>
    <hyperlink ref="J35" r:id="rId31" display="requirements-R1-MVP_2026-10-27.md"/>
    <hyperlink ref="J36" r:id="rId32" display="requirements-R1-MVP_2026-10-27.md"/>
    <hyperlink ref="J37" r:id="rId33" display="requirements-R1-MVP_2026-10-27.md"/>
    <hyperlink ref="J38" r:id="rId34" display="requirements-R1-MVP_2026-10-27.md"/>
    <hyperlink ref="J39" r:id="rId35" display="requirements-R1-MVP_2026-10-27.md"/>
    <hyperlink ref="J40" r:id="rId36" display="requirements-R1-MVP_2026-10-27.md"/>
    <hyperlink ref="J41" r:id="rId37" display="requirements-R1-MVP_2026-10-27.md"/>
    <hyperlink ref="J42" r:id="rId38" display="requirements-R1-MVP_2026-10-27.md"/>
    <hyperlink ref="J43" r:id="rId39" display="requirements-R1-MVP_2026-10-27.md"/>
    <hyperlink ref="J44" r:id="rId40" display="requirements-R1-MVP_2026-10-27.md"/>
    <hyperlink ref="J45" r:id="rId41" display="requirements-R1-MVP_2026-10-27.md"/>
    <hyperlink ref="J46" r:id="rId42" display="requirements-R1-MVP_2026-10-27.md"/>
    <hyperlink ref="J47" r:id="rId43" display="requirements-R1-MVP_2026-10-27.md"/>
    <hyperlink ref="J48" r:id="rId44" display="requirements-R1-MVP_2026-10-27.md"/>
    <hyperlink ref="J49" r:id="rId45" display="requirements-R1-MVP_2026-10-27.md"/>
    <hyperlink ref="J50" r:id="rId46" display="requirements-R1-MVP_2026-10-27.md"/>
    <hyperlink ref="J51" r:id="rId47" display="requirements-R1-MVP_2026-10-27.md"/>
    <hyperlink ref="J52" r:id="rId48" display="requirements-R1-MVP_2026-10-27.md"/>
    <hyperlink ref="J53" r:id="rId49" display="requirements-R1-MVP_2026-10-27.md"/>
    <hyperlink ref="J54" r:id="rId50" display="requirements-R1-MVP_2026-10-27.md"/>
    <hyperlink ref="J55" r:id="rId51" display="requirements-R1-MVP_2026-10-27.md"/>
    <hyperlink ref="J56" r:id="rId52" display="requirements-R1-MVP_2026-10-27.md"/>
    <hyperlink ref="J57" r:id="rId53" display="requirements-R1-MVP_2026-10-27.md"/>
    <hyperlink ref="J58" r:id="rId54" display="requirements-R2-R4_2026-10-27.md"/>
    <hyperlink ref="J59" r:id="rId55" display="requirements-R2-R4_2026-10-27.md"/>
    <hyperlink ref="J60" r:id="rId56" display="requirements-R2-R4_2026-10-27.md"/>
    <hyperlink ref="J61" r:id="rId57" display="requirements-R2-R4_2026-10-27.md"/>
    <hyperlink ref="J62" r:id="rId58" display="requirements-R2-R4_2026-10-27.md"/>
    <hyperlink ref="J63" r:id="rId59" display="requirements-R2-R4_2026-10-27.md"/>
    <hyperlink ref="J64" r:id="rId60" display="requirements-R2-R4_2026-10-27.md"/>
    <hyperlink ref="J65" r:id="rId61" display="requirements-R2-R4_2026-10-27.md"/>
    <hyperlink ref="J66" r:id="rId62" display="requirements-R2-R4_2026-10-27.md"/>
    <hyperlink ref="J67" r:id="rId63" display="requirements-R2-R4_2026-10-27.md"/>
    <hyperlink ref="J68" r:id="rId64" display="requirements-R2-R4_2026-10-27.md"/>
    <hyperlink ref="J69" r:id="rId65" display="requirements-R2-R4_2026-10-27.md"/>
    <hyperlink ref="J70" r:id="rId66" display="requirements-R2-R4_2026-10-27.md"/>
    <hyperlink ref="J71" r:id="rId67" display="requirements-R2-R4_2026-10-27.md"/>
    <hyperlink ref="J72" r:id="rId68" display="requirements-R2-R4_2026-10-27.md"/>
    <hyperlink ref="J73" r:id="rId69" display="requirements-R2-R4_2026-10-27.md"/>
    <hyperlink ref="J74" r:id="rId70" display="requirements-R2-R4_2026-10-27.md"/>
    <hyperlink ref="J75" r:id="rId71" display="requirements-R2-R4_2026-10-27.m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52"/>
    <col collapsed="false" customWidth="true" hidden="false" outlineLevel="0" max="4" min="4" style="0" width="40"/>
  </cols>
  <sheetData>
    <row r="1" customFormat="false" ht="17.35" hidden="false" customHeight="false" outlineLevel="0" collapsed="false">
      <c r="A1" s="1" t="s">
        <v>513</v>
      </c>
    </row>
    <row r="2" customFormat="false" ht="15" hidden="false" customHeight="false" outlineLevel="0" collapsed="false">
      <c r="A2" s="2" t="s">
        <v>514</v>
      </c>
    </row>
    <row r="4" customFormat="false" ht="15" hidden="false" customHeight="false" outlineLevel="0" collapsed="false">
      <c r="A4" s="5" t="s">
        <v>515</v>
      </c>
      <c r="B4" s="5" t="s">
        <v>516</v>
      </c>
      <c r="C4" s="5" t="s">
        <v>517</v>
      </c>
      <c r="D4" s="5" t="s">
        <v>518</v>
      </c>
    </row>
    <row r="5" customFormat="false" ht="15" hidden="false" customHeight="false" outlineLevel="0" collapsed="false">
      <c r="A5" s="3" t="s">
        <v>519</v>
      </c>
      <c r="B5" s="20" t="s">
        <v>520</v>
      </c>
      <c r="C5" s="4" t="s">
        <v>521</v>
      </c>
      <c r="D5" s="4" t="s">
        <v>522</v>
      </c>
    </row>
    <row r="6" customFormat="false" ht="15" hidden="false" customHeight="false" outlineLevel="0" collapsed="false">
      <c r="A6" s="3" t="s">
        <v>523</v>
      </c>
      <c r="B6" s="20" t="s">
        <v>524</v>
      </c>
      <c r="C6" s="4" t="s">
        <v>525</v>
      </c>
      <c r="D6" s="4" t="s">
        <v>522</v>
      </c>
    </row>
    <row r="7" customFormat="false" ht="23.85" hidden="false" customHeight="false" outlineLevel="0" collapsed="false">
      <c r="A7" s="3" t="s">
        <v>526</v>
      </c>
      <c r="B7" s="20" t="s">
        <v>527</v>
      </c>
      <c r="C7" s="4" t="s">
        <v>528</v>
      </c>
      <c r="D7" s="4" t="s">
        <v>529</v>
      </c>
    </row>
    <row r="8" customFormat="false" ht="23.85" hidden="false" customHeight="false" outlineLevel="0" collapsed="false">
      <c r="A8" s="3" t="s">
        <v>530</v>
      </c>
      <c r="B8" s="20" t="s">
        <v>531</v>
      </c>
      <c r="C8" s="4" t="s">
        <v>532</v>
      </c>
      <c r="D8" s="4" t="s">
        <v>533</v>
      </c>
    </row>
    <row r="9" customFormat="false" ht="23.85" hidden="false" customHeight="false" outlineLevel="0" collapsed="false">
      <c r="A9" s="3" t="s">
        <v>534</v>
      </c>
      <c r="B9" s="20" t="s">
        <v>535</v>
      </c>
      <c r="C9" s="4" t="s">
        <v>536</v>
      </c>
      <c r="D9" s="4" t="s">
        <v>537</v>
      </c>
    </row>
    <row r="10" customFormat="false" ht="15" hidden="false" customHeight="false" outlineLevel="0" collapsed="false">
      <c r="A10" s="3" t="s">
        <v>538</v>
      </c>
      <c r="B10" s="4" t="s">
        <v>539</v>
      </c>
      <c r="C10" s="4" t="s">
        <v>540</v>
      </c>
      <c r="D10" s="4" t="s">
        <v>32</v>
      </c>
    </row>
    <row r="11" customFormat="false" ht="23.85" hidden="false" customHeight="false" outlineLevel="0" collapsed="false">
      <c r="A11" s="3" t="s">
        <v>541</v>
      </c>
      <c r="B11" s="20" t="s">
        <v>542</v>
      </c>
      <c r="C11" s="4" t="s">
        <v>543</v>
      </c>
      <c r="D11" s="4" t="s">
        <v>544</v>
      </c>
    </row>
    <row r="12" customFormat="false" ht="15" hidden="false" customHeight="false" outlineLevel="0" collapsed="false">
      <c r="A12" s="3" t="s">
        <v>545</v>
      </c>
      <c r="B12" s="4" t="s">
        <v>546</v>
      </c>
      <c r="C12" s="4" t="s">
        <v>547</v>
      </c>
      <c r="D12" s="4" t="s">
        <v>548</v>
      </c>
    </row>
    <row r="13" customFormat="false" ht="15" hidden="false" customHeight="false" outlineLevel="0" collapsed="false">
      <c r="A13" s="3" t="s">
        <v>549</v>
      </c>
      <c r="B13" s="4" t="s">
        <v>550</v>
      </c>
      <c r="C13" s="4" t="s">
        <v>551</v>
      </c>
      <c r="D13" s="4" t="s">
        <v>552</v>
      </c>
    </row>
  </sheetData>
  <hyperlinks>
    <hyperlink ref="B5" r:id="rId1" display="requirements/requirements-R1-MVP_2026-10-27.md"/>
    <hyperlink ref="B6" r:id="rId2" display="requirements/requirements-R2-R4_2026-10-27.md"/>
    <hyperlink ref="B7" r:id="rId3" display="test/01_test_cases_2026-10-27.md"/>
    <hyperlink ref="B8" r:id="rId4" display="data/product_catalogue.xlsx"/>
    <hyperlink ref="B9" r:id="rId5" display="data/project_catalogue.xlsx"/>
    <hyperlink ref="B11" r:id="rId6" display="data/03-design.m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20"/>
  </cols>
  <sheetData>
    <row r="1" customFormat="false" ht="17.35" hidden="false" customHeight="false" outlineLevel="0" collapsed="false">
      <c r="A1" s="1" t="s">
        <v>553</v>
      </c>
    </row>
    <row r="2" customFormat="false" ht="15" hidden="false" customHeight="false" outlineLevel="0" collapsed="false">
      <c r="A2" s="2" t="s">
        <v>554</v>
      </c>
    </row>
    <row r="4" customFormat="false" ht="15" hidden="false" customHeight="false" outlineLevel="0" collapsed="false">
      <c r="A4" s="5" t="s">
        <v>555</v>
      </c>
      <c r="B4" s="5" t="s">
        <v>556</v>
      </c>
      <c r="C4" s="5" t="s">
        <v>557</v>
      </c>
    </row>
    <row r="5" customFormat="false" ht="23.85" hidden="false" customHeight="false" outlineLevel="0" collapsed="false">
      <c r="A5" s="3" t="s">
        <v>558</v>
      </c>
      <c r="B5" s="4" t="s">
        <v>559</v>
      </c>
      <c r="C5" s="4" t="s">
        <v>560</v>
      </c>
    </row>
    <row r="6" customFormat="false" ht="23.85" hidden="false" customHeight="false" outlineLevel="0" collapsed="false">
      <c r="A6" s="3" t="s">
        <v>561</v>
      </c>
      <c r="B6" s="4" t="s">
        <v>562</v>
      </c>
      <c r="C6" s="4" t="s">
        <v>563</v>
      </c>
    </row>
    <row r="7" customFormat="false" ht="23.85" hidden="false" customHeight="false" outlineLevel="0" collapsed="false">
      <c r="A7" s="3" t="s">
        <v>564</v>
      </c>
      <c r="B7" s="4" t="s">
        <v>562</v>
      </c>
      <c r="C7" s="4" t="s">
        <v>565</v>
      </c>
    </row>
    <row r="8" customFormat="false" ht="15" hidden="false" customHeight="false" outlineLevel="0" collapsed="false">
      <c r="A8" s="3" t="s">
        <v>566</v>
      </c>
      <c r="B8" s="4" t="s">
        <v>562</v>
      </c>
      <c r="C8" s="4" t="s">
        <v>567</v>
      </c>
    </row>
    <row r="9" customFormat="false" ht="23.85" hidden="false" customHeight="false" outlineLevel="0" collapsed="false">
      <c r="A9" s="3" t="s">
        <v>568</v>
      </c>
      <c r="B9" s="4" t="s">
        <v>562</v>
      </c>
      <c r="C9" s="4" t="s">
        <v>569</v>
      </c>
    </row>
    <row r="10" customFormat="false" ht="23.85" hidden="false" customHeight="false" outlineLevel="0" collapsed="false">
      <c r="A10" s="3" t="s">
        <v>570</v>
      </c>
      <c r="B10" s="4" t="s">
        <v>571</v>
      </c>
      <c r="C10" s="4" t="s">
        <v>572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2026-10-29T00:11:13Z</dcterms:created>
  <dc:creator>openpyxl</dc:creator>
  <dc:description/>
  <dc:language>en-US</dc:language>
  <cp:lastModifiedBy/>
  <dcterms:modified xsi:type="dcterms:W3CDTF">2026-10-29T00:11:13Z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